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nectnpedu-my.sharepoint.com/personal/s10267908_connect_np_edu_sg/Documents/PROJID3/"/>
    </mc:Choice>
  </mc:AlternateContent>
  <xr:revisionPtr revIDLastSave="312" documentId="8_{BA3DD972-44DA-45B3-B0F7-352FF5F33ADE}" xr6:coauthVersionLast="47" xr6:coauthVersionMax="47" xr10:uidLastSave="{FAC96B66-7475-480C-8D2C-DC8E46C0D39E}"/>
  <bookViews>
    <workbookView xWindow="-120" yWindow="-120" windowWidth="29040" windowHeight="15720" tabRatio="822" activeTab="10" xr2:uid="{00000000-000D-0000-FFFF-FFFF00000000}"/>
  </bookViews>
  <sheets>
    <sheet name="README" sheetId="1" r:id="rId1"/>
    <sheet name="1. Master Schedule" sheetId="2" r:id="rId2"/>
    <sheet name="2. Deliverables" sheetId="3" r:id="rId3"/>
    <sheet name="3. Bi-weekly Journal" sheetId="4" r:id="rId4"/>
    <sheet name="4. Experiment Log" sheetId="5" r:id="rId5"/>
    <sheet name="5. Hypotheses" sheetId="6" r:id="rId6"/>
    <sheet name="6. Risk Register" sheetId="7" r:id="rId7"/>
    <sheet name="7. Reading Tracker" sheetId="8" r:id="rId8"/>
    <sheet name="8. Meeting Log" sheetId="9" r:id="rId9"/>
    <sheet name="9. Gantt Chart" sheetId="10" r:id="rId10"/>
    <sheet name="10. Referenc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rn7B8m7ZR03iWOygDdFU8O7GuygDQW2NXeMrFlQfCEc="/>
    </ext>
  </extLst>
</workbook>
</file>

<file path=xl/calcChain.xml><?xml version="1.0" encoding="utf-8"?>
<calcChain xmlns="http://schemas.openxmlformats.org/spreadsheetml/2006/main">
  <c r="B44" i="5" l="1"/>
</calcChain>
</file>

<file path=xl/sharedStrings.xml><?xml version="1.0" encoding="utf-8"?>
<sst xmlns="http://schemas.openxmlformats.org/spreadsheetml/2006/main" count="779" uniqueCount="503">
  <si>
    <t>Foolproof Study Plan — Project Tracker</t>
  </si>
  <si>
    <t>Project</t>
  </si>
  <si>
    <t>Parametric Study of Regeneration Process of CO₂ Capture Sorbent in Packed-Bed Columns</t>
  </si>
  <si>
    <t>Student</t>
  </si>
  <si>
    <t>Year 3 ES (N93), Ngee Ann Polytechnic</t>
  </si>
  <si>
    <t>Institution supervisors</t>
  </si>
  <si>
    <t>Prof. Prapatsorn Borisut; Prof. Erik Birgersson</t>
  </si>
  <si>
    <t>NP supervisor</t>
  </si>
  <si>
    <t>Dr. Pham the Hanh</t>
  </si>
  <si>
    <t>Semester</t>
  </si>
  <si>
    <t>April 2026</t>
  </si>
  <si>
    <t>Plan issued</t>
  </si>
  <si>
    <t>Total assessment</t>
  </si>
  <si>
    <t>100% (Journals 10% + Interim 10% + Interim Assess 30% + Final 10% + Final Assess 30% + Panel 10%)</t>
  </si>
  <si>
    <t>Tabs in this workbook</t>
  </si>
  <si>
    <t>1. Master Schedule</t>
  </si>
  <si>
    <t>18-week Gantt-style plan aligned exactly to the NP April-2026 timeline.</t>
  </si>
  <si>
    <t>2. Deliverables</t>
  </si>
  <si>
    <t>All assessed items with due dates, weights and status flags.</t>
  </si>
  <si>
    <t>3. Bi-weekly Journal</t>
  </si>
  <si>
    <t>Four pre-prepared journal templates (Wk 3, 5, 13, 15).</t>
  </si>
  <si>
    <t>4. Experiment Log</t>
  </si>
  <si>
    <t>39 planned simulation runs with baseline, OAT sweeps and T×Q interaction.</t>
  </si>
  <si>
    <t>5. Hypotheses</t>
  </si>
  <si>
    <t>H1–H5 with accept/refine thresholds, linked to sub-topics.</t>
  </si>
  <si>
    <t>6. Risk Register</t>
  </si>
  <si>
    <t>9 named risks with triggers and responses.</t>
  </si>
  <si>
    <t>7. Reading Tracker</t>
  </si>
  <si>
    <t>Tier-1/2/3 reading list with progress field.</t>
  </si>
  <si>
    <t>8. Meeting Log</t>
  </si>
  <si>
    <t>Template to record supervisor meetings, decisions and action items.</t>
  </si>
  <si>
    <t>9. Garntt Chart</t>
  </si>
  <si>
    <t>10. References</t>
  </si>
  <si>
    <t>Master Schedule — 18 Weeks (aligned to NP April 2026 Semester)</t>
  </si>
  <si>
    <t>Wk</t>
  </si>
  <si>
    <t>Dates</t>
  </si>
  <si>
    <t>Phase</t>
  </si>
  <si>
    <t>Math / Theory (M)</t>
  </si>
  <si>
    <t>Technical (T)</t>
  </si>
  <si>
    <t>Writing (W)</t>
  </si>
  <si>
    <t>Deliverable / Gate</t>
  </si>
  <si>
    <t>Status</t>
  </si>
  <si>
    <t>1</t>
  </si>
  <si>
    <t>20–24 Apr</t>
  </si>
  <si>
    <t>P0 Kickoff</t>
  </si>
  <si>
    <t>Evans §3.1–3.2 (linear first-order PDE, characteristics)</t>
  </si>
  <si>
    <t>Install Python stack; clone heat-eq template; read all 7 research.md sources</t>
  </si>
  <si>
    <t>Charter + LaTeX skeleton; parameter-table from Elfving/Bos</t>
  </si>
  <si>
    <t>Wk-1 briefing + 1st joint meeting</t>
  </si>
  <si>
    <t>2</t>
  </si>
  <si>
    <t>27 Apr–1 May</t>
  </si>
  <si>
    <t>P1 Derivation</t>
  </si>
  <si>
    <t>Evans §3.4 / LeVeque Ch 3 (Rankine–Hugoniot, entropy)</t>
  </si>
  <si>
    <t>Derive 4-PDE system by hand from CV balance</t>
  </si>
  <si>
    <t>Derivation subsection (Interim §3 seed)</t>
  </si>
  <si>
    <t>3</t>
  </si>
  <si>
    <t>4–8 May</t>
  </si>
  <si>
    <t>P1 Non-dim</t>
  </si>
  <si>
    <t>Buckingham Π; scaling</t>
  </si>
  <si>
    <t>Non-dim all 4 PDEs; identify Pe, NTU, Λ, α, Bi_w</t>
  </si>
  <si>
    <t>Dimensionless-analysis subsection</t>
  </si>
  <si>
    <t>DELIV: Journal #1 — Mon 4 May</t>
  </si>
  <si>
    <t>4</t>
  </si>
  <si>
    <t>11–15 May</t>
  </si>
  <si>
    <t>P2 Linear solver</t>
  </si>
  <si>
    <t>Method of lines; stiff ODE; BDF2/LSODA</t>
  </si>
  <si>
    <t>Code heat-eq MOL; validate vs analytical Gaussian</t>
  </si>
  <si>
    <t>Validation figure #1 draft</t>
  </si>
  <si>
    <t>GATE A: error &lt; 1%</t>
  </si>
  <si>
    <t>5</t>
  </si>
  <si>
    <t>18–22 May</t>
  </si>
  <si>
    <t>P2 Coupled solver</t>
  </si>
  <si>
    <t>LDF kinetics; upwind ≡ entropy numerically</t>
  </si>
  <si>
    <t>Add Langmuir + LDF; zero-heat sanity check</t>
  </si>
  <si>
    <t>Numerical-methods chapter draft</t>
  </si>
  <si>
    <t>DELIV: Journal #2 — Mon 18 May</t>
  </si>
  <si>
    <t>6</t>
  </si>
  <si>
    <t>25–29 May</t>
  </si>
  <si>
    <t>P2 Benchmark + Interim draft</t>
  </si>
  <si>
    <t>Heat-of-ads feedback in v_th</t>
  </si>
  <si>
    <t>Elfving baseline; compute v_th, SER, Δq</t>
  </si>
  <si>
    <t>Interim Report full draft (~3000 w)</t>
  </si>
  <si>
    <t>GATE B (R–H ±15%) + GATE C (SER ±20%)</t>
  </si>
  <si>
    <t>7</t>
  </si>
  <si>
    <t>1–5 Jun</t>
  </si>
  <si>
    <t>Interim Gate</t>
  </si>
  <si>
    <t>—</t>
  </si>
  <si>
    <t>Patch any gaps flagged at review</t>
  </si>
  <si>
    <t>Submit Interim; 10-min slides</t>
  </si>
  <si>
    <t>DELIV: Interim Report Mon 1 Jun; Review Wk 7–8</t>
  </si>
  <si>
    <t>8</t>
  </si>
  <si>
    <t>8–12 Jun</t>
  </si>
  <si>
    <t>P3 Sensitivity Part 1</t>
  </si>
  <si>
    <t>Sensitivity equations (∂T/∂θ PDE)</t>
  </si>
  <si>
    <t>OAT sweep: T_regen (5 lvls) + Q_purge (3 lvls)</t>
  </si>
  <si>
    <t>Running Results log</t>
  </si>
  <si>
    <t>9</t>
  </si>
  <si>
    <t>15–19 Jun</t>
  </si>
  <si>
    <t>TERM BREAK</t>
  </si>
  <si>
    <t>Optional: LeVeque / Villani for pleasure</t>
  </si>
  <si>
    <t>No hard deliverable</t>
  </si>
  <si>
    <t>10</t>
  </si>
  <si>
    <t>22–28 Jun</t>
  </si>
  <si>
    <t>Rest; don't burn out</t>
  </si>
  <si>
    <t>11</t>
  </si>
  <si>
    <t>29 Jun–3 Jul</t>
  </si>
  <si>
    <t>P3 Sensitivity Part 2</t>
  </si>
  <si>
    <t>Local equilibrium limit; NTU → ∞</t>
  </si>
  <si>
    <t>OAT: L (3 lvls) + m (3 lvls); extract v_th, τ_90, T_peak</t>
  </si>
  <si>
    <t>Results log</t>
  </si>
  <si>
    <t>12</t>
  </si>
  <si>
    <t>6–10 Jul</t>
  </si>
  <si>
    <t>P4 Energy analysis</t>
  </si>
  <si>
    <t>Drechsler–Agar energy decomposition</t>
  </si>
  <si>
    <t>Post-process SER = Q_sens + Q_des + Q_parasitic</t>
  </si>
  <si>
    <t>Energy subsection</t>
  </si>
  <si>
    <t>13</t>
  </si>
  <si>
    <t>13–17 Jul</t>
  </si>
  <si>
    <t>P4 Interaction</t>
  </si>
  <si>
    <t>Response-surface methodology (quadratic)</t>
  </si>
  <si>
    <t>T × Q 5×3 grid (15 runs); fit surface</t>
  </si>
  <si>
    <t>Interaction Results</t>
  </si>
  <si>
    <t>DELIV: Journal #3 — Mon 13 Jul</t>
  </si>
  <si>
    <t>14</t>
  </si>
  <si>
    <t>20–24 Jul</t>
  </si>
  <si>
    <t>P5 Dimensionless recast</t>
  </si>
  <si>
    <t>Rescale in (Pe, NTU, Λ); log-sensitivity ranking</t>
  </si>
  <si>
    <t>Universal plots; parameter ranking</t>
  </si>
  <si>
    <t>Discussion draft</t>
  </si>
  <si>
    <t>15</t>
  </si>
  <si>
    <t>27–31 Jul</t>
  </si>
  <si>
    <t>P6 Writing Sprint 1</t>
  </si>
  <si>
    <t>Code cleanup; all figures 300 dpi</t>
  </si>
  <si>
    <t>Final Report v0.5 — to both supervisors</t>
  </si>
  <si>
    <t>DELIV: Journal #4 — Mon 27 Jul</t>
  </si>
  <si>
    <t>16</t>
  </si>
  <si>
    <t>3–7 Aug</t>
  </si>
  <si>
    <t>P6 Writing Sprint 2</t>
  </si>
  <si>
    <t>Any requested reruns</t>
  </si>
  <si>
    <t>Final Report v1.0 — proofread, formatted</t>
  </si>
  <si>
    <t>17</t>
  </si>
  <si>
    <t>10–14 Aug</t>
  </si>
  <si>
    <t>P7 Submit + prep</t>
  </si>
  <si>
    <t>Submit Mon 10 Aug; build slides; 2 rehearsals</t>
  </si>
  <si>
    <t>DELIV: Final Report Mon 10 Aug</t>
  </si>
  <si>
    <t>18</t>
  </si>
  <si>
    <t>17–19 Aug</t>
  </si>
  <si>
    <t>P7 Defence</t>
  </si>
  <si>
    <t>Slide revisions after dry-run</t>
  </si>
  <si>
    <t>DELIV: Final Presentation + panel</t>
  </si>
  <si>
    <t>Deliverables — Assessed Items</t>
  </si>
  <si>
    <t>Deliverable</t>
  </si>
  <si>
    <t>Due date</t>
  </si>
  <si>
    <t>Weight</t>
  </si>
  <si>
    <t>Assessor</t>
  </si>
  <si>
    <t>Notes</t>
  </si>
  <si>
    <t>Bi-weekly Journal #1</t>
  </si>
  <si>
    <t>2.5%</t>
  </si>
  <si>
    <t>Not started</t>
  </si>
  <si>
    <t>Bi-weekly Journal #2</t>
  </si>
  <si>
    <t>Interim Report</t>
  </si>
  <si>
    <t>10%</t>
  </si>
  <si>
    <t>NP + Institution</t>
  </si>
  <si>
    <t>Hard gate</t>
  </si>
  <si>
    <t>Interim Assessment (Institution)</t>
  </si>
  <si>
    <t>20%</t>
  </si>
  <si>
    <t>Prof. Borisut / Prof. Birgersson</t>
  </si>
  <si>
    <t>Filled during Wk 7–8</t>
  </si>
  <si>
    <t>Interim Assessment (NP)</t>
  </si>
  <si>
    <t>Bi-weekly Journal #3</t>
  </si>
  <si>
    <t>Bi-weekly Journal #4</t>
  </si>
  <si>
    <t>Final Report</t>
  </si>
  <si>
    <t>6k–8k words</t>
  </si>
  <si>
    <t>Final Assessment (Institution)</t>
  </si>
  <si>
    <t>Final Assessment (NP)</t>
  </si>
  <si>
    <t>Final Presentation (Panel)</t>
  </si>
  <si>
    <t>Panel (NP + other supervisors)</t>
  </si>
  <si>
    <t>20–25 min + Q&amp;A</t>
  </si>
  <si>
    <t>TOTAL</t>
  </si>
  <si>
    <t>100%</t>
  </si>
  <si>
    <t>Bi-weekly Journal Templates (Journals #1–#4)</t>
  </si>
  <si>
    <t>Section</t>
  </si>
  <si>
    <t>Prompt</t>
  </si>
  <si>
    <t>Entry</t>
  </si>
  <si>
    <t>JOURNAL #1 — Wk 3, due Mon 4 May 2026</t>
  </si>
  <si>
    <t>1. What I did</t>
  </si>
  <si>
    <t>Methods of characteristics exercises; 4-PDE derivation; Π-group identification; dev environment set up.</t>
  </si>
  <si>
    <t>Read up on conversation math (conservationdissipation.pdf)
Created study plan for upcoming semester for ProjID3, derived equations of Change for Pure Fluids in Terms of the Fluxes</t>
  </si>
  <si>
    <t>2. What I learned</t>
  </si>
  <si>
    <t>The mathematical insight of the week — e.g., why upwind differencing is the numerical analogue of the entropy condition.</t>
  </si>
  <si>
    <t>3. Blockers / questions</t>
  </si>
  <si>
    <t>e.g., 'Need Langmuir q_m0, b_0, ΔH_ads from Prof. Borisut by end of Wk 2 else will use Elfving defaults.'</t>
  </si>
  <si>
    <t>4. Plan for next 2 weeks</t>
  </si>
  <si>
    <t>Match Part III of master plan: code linear solver (Wk 4); extend to coupled (Wk 5).</t>
  </si>
  <si>
    <t>JOURNAL #2 — Wk 5, due Mon 18 May 2026</t>
  </si>
  <si>
    <t>Gate A passed; nonlinear LDF + Langmuir coupled; first breakthrough curve; v_th hand-computed.</t>
  </si>
  <si>
    <t>How the chord vs tangent of the isotherm sets shock velocity.</t>
  </si>
  <si>
    <t>Gate B + C; Elfving benchmark; draft Interim.</t>
  </si>
  <si>
    <t>JOURNAL #3 — Wk 13, due Mon 13 Jul 2026</t>
  </si>
  <si>
    <t>OAT for T_regen, Q_purge complete; H1 and H2 directions confirmed.</t>
  </si>
  <si>
    <t>Sensitivity magnitudes in log-space; where the SER(Q_purge) minimum actually sits.</t>
  </si>
  <si>
    <t>L, m sweeps; T×Q interaction; energy analysis.</t>
  </si>
  <si>
    <t>JOURNAL #4 — Wk 15, due Mon 27 Jul 2026</t>
  </si>
  <si>
    <t>Dimensionless recast; response surface fitted; Final Report v0.5 circulated.</t>
  </si>
  <si>
    <t>Universal plots in (Pe, NTU) space — what transfers, what doesn't.</t>
  </si>
  <si>
    <t>Address supervisor feedback; v1.0; final figures; rehearsals.</t>
  </si>
  <si>
    <t>Simulation / Experiment Log — 39 planned runs</t>
  </si>
  <si>
    <t>Run ID</t>
  </si>
  <si>
    <t>Sweep</t>
  </si>
  <si>
    <t>T_regen (°C)</t>
  </si>
  <si>
    <t>Q_purge (mL/min)</t>
  </si>
  <si>
    <t>L (cm)</t>
  </si>
  <si>
    <t>m (g)</t>
  </si>
  <si>
    <t>Planned Wk</t>
  </si>
  <si>
    <t>v_th (m/s)</t>
  </si>
  <si>
    <t>τ_90 (s)</t>
  </si>
  <si>
    <t>SER (MJ/kg)</t>
  </si>
  <si>
    <t>R00</t>
  </si>
  <si>
    <t>Validation</t>
  </si>
  <si>
    <t>Baseline</t>
  </si>
  <si>
    <t>Planned</t>
  </si>
  <si>
    <t>R01-1</t>
  </si>
  <si>
    <t>OAT</t>
  </si>
  <si>
    <t>T_regen</t>
  </si>
  <si>
    <t>R01-2</t>
  </si>
  <si>
    <t>R01-3</t>
  </si>
  <si>
    <t>R01-4</t>
  </si>
  <si>
    <t>R01-5</t>
  </si>
  <si>
    <t>R02-1</t>
  </si>
  <si>
    <t>Q_purge</t>
  </si>
  <si>
    <t>R02-2</t>
  </si>
  <si>
    <t>R02-3</t>
  </si>
  <si>
    <t>R03-1</t>
  </si>
  <si>
    <t>L</t>
  </si>
  <si>
    <t>R03-2</t>
  </si>
  <si>
    <t>R03-3</t>
  </si>
  <si>
    <t>R04-1</t>
  </si>
  <si>
    <t>m_sorbent</t>
  </si>
  <si>
    <t>R04-2</t>
  </si>
  <si>
    <t>R04-3</t>
  </si>
  <si>
    <t>R05-01</t>
  </si>
  <si>
    <t>Interaction</t>
  </si>
  <si>
    <t>T × Q</t>
  </si>
  <si>
    <t>R05-02</t>
  </si>
  <si>
    <t>R05-03</t>
  </si>
  <si>
    <t>R05-04</t>
  </si>
  <si>
    <t>R05-05</t>
  </si>
  <si>
    <t>R05-06</t>
  </si>
  <si>
    <t>R05-07</t>
  </si>
  <si>
    <t>R05-08</t>
  </si>
  <si>
    <t>R05-09</t>
  </si>
  <si>
    <t>R05-10</t>
  </si>
  <si>
    <t>R05-11</t>
  </si>
  <si>
    <t>R05-12</t>
  </si>
  <si>
    <t>R05-13</t>
  </si>
  <si>
    <t>R05-14</t>
  </si>
  <si>
    <t>R05-15</t>
  </si>
  <si>
    <t>R06-01</t>
  </si>
  <si>
    <t>Validation/diag</t>
  </si>
  <si>
    <t>Gate A linear</t>
  </si>
  <si>
    <t>R06-02</t>
  </si>
  <si>
    <t>Gate B iso-Langmuir</t>
  </si>
  <si>
    <t>R06-03</t>
  </si>
  <si>
    <t>Gate C Elfving-60</t>
  </si>
  <si>
    <t>R06-04</t>
  </si>
  <si>
    <t>CFL check</t>
  </si>
  <si>
    <t>R06-05</t>
  </si>
  <si>
    <t>Mass-bal check</t>
  </si>
  <si>
    <t>R06-06</t>
  </si>
  <si>
    <t>Energy-bal check</t>
  </si>
  <si>
    <t>R06-07</t>
  </si>
  <si>
    <t>Grid refine x2</t>
  </si>
  <si>
    <t>R06-08</t>
  </si>
  <si>
    <t>dt refine x2</t>
  </si>
  <si>
    <t>R06-09</t>
  </si>
  <si>
    <t>Rerun buffer</t>
  </si>
  <si>
    <t>R06-10</t>
  </si>
  <si>
    <t>Count</t>
  </si>
  <si>
    <t>Hypotheses H1–H5 and Accept/Refine Thresholds</t>
  </si>
  <si>
    <t>H#</t>
  </si>
  <si>
    <t>Sub-topic</t>
  </si>
  <si>
    <t>Hypothesis</t>
  </si>
  <si>
    <t>Anchor source</t>
  </si>
  <si>
    <t>Accept threshold</t>
  </si>
  <si>
    <t>Verdict</t>
  </si>
  <si>
    <t>H1</t>
  </si>
  <si>
    <t>Regeneration temperature</t>
  </si>
  <si>
    <t>Raising T_regen 60→120 °C more than doubles initial desorption rate; Δcapacity ≥ 20%. Diminishing returns above ~120 °C.</t>
  </si>
  <si>
    <t>Bos 2018; Serna-Guerrero 2010</t>
  </si>
  <si>
    <t>Rate ratio &gt; 2.0 AND Δcapacity &gt; 20%</t>
  </si>
  <si>
    <t>Pending</t>
  </si>
  <si>
    <t>H2</t>
  </si>
  <si>
    <t>Purge gas flow rate</t>
  </si>
  <si>
    <t>SER vs Q_purge has an interior minimum in 100–500 mL/min range at fixed T.</t>
  </si>
  <si>
    <t>Elfving 2021</t>
  </si>
  <si>
    <t>Local min exists in SER(Q) curve</t>
  </si>
  <si>
    <t>H3</t>
  </si>
  <si>
    <t>Bed height (L)</t>
  </si>
  <si>
    <t>v_front independent of L; t_BT linear in L; MTZ width ~ L^(1/2) / Pe.</t>
  </si>
  <si>
    <t>Hanh 2024; Zanco 2022</t>
  </si>
  <si>
    <t>|slope v(L)|/mean &lt; 5%; R² of t_BT linear fit &gt; 0.95</t>
  </si>
  <si>
    <t>H4</t>
  </si>
  <si>
    <t>Sorbent mass (m)</t>
  </si>
  <si>
    <t>Q_sens linear in m; SER(m) has an interior optimum.</t>
  </si>
  <si>
    <t>Zanco 2022; Drechsler 2020</t>
  </si>
  <si>
    <t>Linear Q_sens R² &gt; 0.98; interior SER minimum observed</t>
  </si>
  <si>
    <t>H5</t>
  </si>
  <si>
    <t>Axial T profile (Rankine–Hugoniot)</t>
  </si>
  <si>
    <t>Simulated thermal-front velocity matches R–H prediction within ±15%.</t>
  </si>
  <si>
    <t>Marx 2016; Zanco 2022</t>
  </si>
  <si>
    <t>|v_sim − v_RH|/v_RH &lt; 0.15</t>
  </si>
  <si>
    <t>Risk Register — 9 Named Risks</t>
  </si>
  <si>
    <t>#</t>
  </si>
  <si>
    <t>Risk</t>
  </si>
  <si>
    <t>Likelihood</t>
  </si>
  <si>
    <t>Impact</t>
  </si>
  <si>
    <t>Trigger</t>
  </si>
  <si>
    <t>Response</t>
  </si>
  <si>
    <t>R1</t>
  </si>
  <si>
    <t>Solver fails Gate A by end of Wk 4</t>
  </si>
  <si>
    <t>Medium</t>
  </si>
  <si>
    <t>High</t>
  </si>
  <si>
    <t>L² err &gt; 1% or solver diverges</t>
  </si>
  <si>
    <t>Fallback to Crank–Nicolson hand-coded; consult Birgersson; 3-day buffer</t>
  </si>
  <si>
    <t>Open</t>
  </si>
  <si>
    <t>R2</t>
  </si>
  <si>
    <t>SUTD does not supply sorbent / rig parameters by Wk 2</t>
  </si>
  <si>
    <t>No email reply end of Wk 2</t>
  </si>
  <si>
    <t>Use Elfving 2021 defaults as placeholders; document; escalate to NP supervisor</t>
  </si>
  <si>
    <t>R3</t>
  </si>
  <si>
    <t>Derivation chapter overrun → Interim late</t>
  </si>
  <si>
    <t>Critical</t>
  </si>
  <si>
    <t>Wk 6 Fri and Interim draft &lt; 1500 w</t>
  </si>
  <si>
    <t>Tighten scope: cover only H1, H2 in Interim; finish the rest by Wk 13</t>
  </si>
  <si>
    <t>R4</t>
  </si>
  <si>
    <t>Stiff integrator collapses near pinch points</t>
  </si>
  <si>
    <t>Low</t>
  </si>
  <si>
    <t>Step size → 0; `LSODA` complains</t>
  </si>
  <si>
    <t>Regularise isotherm; tune atol/rtol; try BDF</t>
  </si>
  <si>
    <t>R5</t>
  </si>
  <si>
    <t>Scope creep (2-D / Bayesian / experimental)</t>
  </si>
  <si>
    <t>You find yourself reading Villani on a Wed morning</t>
  </si>
  <si>
    <t>Part I §1.3 'Out of scope'. Bookmark for FYP.</t>
  </si>
  <si>
    <t>R6</t>
  </si>
  <si>
    <t>Burnout Wk 11–13 after break</t>
  </si>
  <si>
    <t>Journal #3 late or thin; &gt; 12 h weekends</t>
  </si>
  <si>
    <t>Drop interaction grid 5×3 → 4×3; call NP supervisor</t>
  </si>
  <si>
    <t>R7</t>
  </si>
  <si>
    <t>Laptop / data loss</t>
  </si>
  <si>
    <t>Catastrophic</t>
  </si>
  <si>
    <t>Nightly git push; weekly Drive backup of .ipynb + .npz</t>
  </si>
  <si>
    <t>R8</t>
  </si>
  <si>
    <t>Panel presentation overruns</t>
  </si>
  <si>
    <t>Dry-run &gt; 22 min</t>
  </si>
  <si>
    <t>Two rehearsals; record once; open with the PHYSICAL picture, not equations</t>
  </si>
  <si>
    <t>R9</t>
  </si>
  <si>
    <t>Supervisor expectations diverge (SUTD vs NP)</t>
  </si>
  <si>
    <t>A supervisor is surprised by project direction in Wk 7</t>
  </si>
  <si>
    <t>Monthly 1-page joint status email (template in plan §IX)</t>
  </si>
  <si>
    <t>Reading Tracker (Tier 1 / 2 / 3)</t>
  </si>
  <si>
    <t>Tier</t>
  </si>
  <si>
    <t>Reference</t>
  </si>
  <si>
    <t>Topic</t>
  </si>
  <si>
    <t>Target week(s)</t>
  </si>
  <si>
    <t>Evans, PDE, Ch 3</t>
  </si>
  <si>
    <t>Characteristics, shocks</t>
  </si>
  <si>
    <t>Wk 1–2</t>
  </si>
  <si>
    <t>LeVeque, Numerical Methods for Conservation Laws, Ch 3, 6–7</t>
  </si>
  <si>
    <t>Upwind, CFL</t>
  </si>
  <si>
    <t>Wk 4–5</t>
  </si>
  <si>
    <t>Ruthven, Principles of Adsorption, Ch 6, 8</t>
  </si>
  <si>
    <t>Packed-bed models</t>
  </si>
  <si>
    <t>Wk 2–6</t>
  </si>
  <si>
    <t>Elfving et al. 2021, Chem Eng J 404, 126337</t>
  </si>
  <si>
    <t>Primary benchmark</t>
  </si>
  <si>
    <t>Wk 1, 6</t>
  </si>
  <si>
    <t>Bos et al. 2018, I&amp;EC Res 57, 11141</t>
  </si>
  <si>
    <t>Regeneration options</t>
  </si>
  <si>
    <t>Wk 1, 8</t>
  </si>
  <si>
    <t>Serna-Guerrero et al. 2010, CES 65, 4166</t>
  </si>
  <si>
    <t>Factorial DOE direction</t>
  </si>
  <si>
    <t>Wk 8</t>
  </si>
  <si>
    <t>Marx et al. 2016, I&amp;EC Res 55, 1401</t>
  </si>
  <si>
    <t>1-D non-isothermal calib.</t>
  </si>
  <si>
    <t>Wk 6, 14</t>
  </si>
  <si>
    <t>Zanco et al. 2022, Chem Eng J 430, 131000</t>
  </si>
  <si>
    <t>Axial T profile template</t>
  </si>
  <si>
    <t>Wk 11</t>
  </si>
  <si>
    <t>Hanh et al. 2024, J Taiwan IChE 164, 105681</t>
  </si>
  <si>
    <t>MTZ / ABU / AER</t>
  </si>
  <si>
    <t>Wk 11, 14</t>
  </si>
  <si>
    <t>Drechsler &amp; Agar 2020, I&amp;EC Res 59, 9207</t>
  </si>
  <si>
    <t>Energy decomposition</t>
  </si>
  <si>
    <t>Wk 12</t>
  </si>
  <si>
    <t>Bird/Stewart/Lightfoot, Transport Phenomena, Ch 6, 11, 14</t>
  </si>
  <si>
    <t>CV balances</t>
  </si>
  <si>
    <t>Wk 2–3</t>
  </si>
  <si>
    <t>Villani, Topics in Optimal Transport, Ch 1</t>
  </si>
  <si>
    <t>Multi-marginal link</t>
  </si>
  <si>
    <t>Break</t>
  </si>
  <si>
    <t>Optional</t>
  </si>
  <si>
    <t>Evans, PDE, Ch 5</t>
  </si>
  <si>
    <t>Sobolev spaces (enrichment)</t>
  </si>
  <si>
    <t>Sources_csv.xlsx math papers (Laplacians; Multi-Marginal; Stat Mech)</t>
  </si>
  <si>
    <t>Library math enrichment</t>
  </si>
  <si>
    <t>Rolling</t>
  </si>
  <si>
    <t>Meeting Log — Supervisor Meetings</t>
  </si>
  <si>
    <t>Date</t>
  </si>
  <si>
    <t>Attendees</t>
  </si>
  <si>
    <t>Topics discussed</t>
  </si>
  <si>
    <t>Decisions</t>
  </si>
  <si>
    <t>Action items</t>
  </si>
  <si>
    <t>Owner / due</t>
  </si>
  <si>
    <t>Student, NP supv, SUTD supv (Borisut + Birgersson)</t>
  </si>
  <si>
    <t>Week-1 kick-off — scope, supervisor expectations, rig geometry, sorbent parameters</t>
  </si>
  <si>
    <t>Obtain q_m0, b_0, ΔH_ads, d_c, L, ρ_p, ε, d_p</t>
  </si>
  <si>
    <t>Student / end Wk 2</t>
  </si>
  <si>
    <t>Task</t>
  </si>
  <si>
    <t>Project Weeks</t>
  </si>
  <si>
    <t>April</t>
  </si>
  <si>
    <t>May</t>
  </si>
  <si>
    <t>June</t>
  </si>
  <si>
    <t>July</t>
  </si>
  <si>
    <t>August</t>
  </si>
  <si>
    <t>W0 (20/04)</t>
  </si>
  <si>
    <t>W1 (27/04)</t>
  </si>
  <si>
    <t>W2 (04/05)</t>
  </si>
  <si>
    <t>W3 (11/05)</t>
  </si>
  <si>
    <t>W4 (18/05)</t>
  </si>
  <si>
    <t>W5 (25/05)</t>
  </si>
  <si>
    <t>W6 (01/06)</t>
  </si>
  <si>
    <t>W7 (08/06)</t>
  </si>
  <si>
    <t>W8 (15/06)</t>
  </si>
  <si>
    <t>W9 (22/06)</t>
  </si>
  <si>
    <t>W10 (29/06)</t>
  </si>
  <si>
    <t>W11 (06/07)</t>
  </si>
  <si>
    <t>W12 (13/07)</t>
  </si>
  <si>
    <t>W13 (20/07)</t>
  </si>
  <si>
    <t>W14 (27/07)</t>
  </si>
  <si>
    <t>W15 (03/08)</t>
  </si>
  <si>
    <t>W16 (10/08)</t>
  </si>
  <si>
    <t>W17 (17/08)</t>
  </si>
  <si>
    <t>DELIVERABLES</t>
  </si>
  <si>
    <t>first meetings with supervisors</t>
  </si>
  <si>
    <t>Bi-weekly journal #1</t>
  </si>
  <si>
    <t xml:space="preserve"> </t>
  </si>
  <si>
    <t>Bi-weekly journal #2</t>
  </si>
  <si>
    <t>Interim report</t>
  </si>
  <si>
    <t>Interim review &amp; presentation</t>
  </si>
  <si>
    <t>Bi-weekly journal #3</t>
  </si>
  <si>
    <t>Bi-weekly journal #4</t>
  </si>
  <si>
    <t>Final report</t>
  </si>
  <si>
    <t>Final presentation</t>
  </si>
  <si>
    <t xml:space="preserve">Learn firstorder quasilinear PDE </t>
  </si>
  <si>
    <t>Learn method of characteristics</t>
  </si>
  <si>
    <t>Install python</t>
  </si>
  <si>
    <t>Read all sources in research.md</t>
  </si>
  <si>
    <t>Set-up Latex skeleton</t>
  </si>
  <si>
    <t>Week 1 briefing preparation</t>
  </si>
  <si>
    <t>References</t>
  </si>
  <si>
    <t>Links</t>
  </si>
  <si>
    <t>PDF</t>
  </si>
  <si>
    <t>Progress</t>
  </si>
  <si>
    <t>Description</t>
  </si>
  <si>
    <t>Scope</t>
  </si>
  <si>
    <t>CO2 Properties</t>
  </si>
  <si>
    <t>Link to info</t>
  </si>
  <si>
    <t>Understanding Molecular Algos</t>
  </si>
  <si>
    <t>CO2 Alumina Adsorbent Simulation and Modelling</t>
  </si>
  <si>
    <t>Adsorbate Solid Monte Carlo Simulation</t>
  </si>
  <si>
    <t>CO2 Capture Fixed Bed Coconut Shell</t>
  </si>
  <si>
    <t>CO2 &amp; GHG Emissions (2020)</t>
  </si>
  <si>
    <t>Micropore size distribution Monte Carlo</t>
  </si>
  <si>
    <t>CO2 Sodium Hydroxide Absorption</t>
  </si>
  <si>
    <t>Equilibrium Kinetics of CO2 Absorption</t>
  </si>
  <si>
    <t>Mathematical Methods for Determining CO2 Absorption</t>
  </si>
  <si>
    <t>Efficient Synthesis of 2D Mica Nanosheets</t>
  </si>
  <si>
    <t>pdf</t>
  </si>
  <si>
    <t>Sorbent in microextraction by packed sorbent</t>
  </si>
  <si>
    <t>Kinetic Diffusion Parameters CO 2 Sorbent</t>
  </si>
  <si>
    <t>Maths</t>
  </si>
  <si>
    <t>Nonlinear systems coupled through multi-marginal transport problems</t>
  </si>
  <si>
    <t>Spatial Dependent Nonlinear Fluid Transport Framework</t>
  </si>
  <si>
    <t>Reducing Nonlinear Transport Equations to Lapalcians</t>
  </si>
  <si>
    <t>Numerical Modelling Nonlinear Transport Adsorption</t>
  </si>
  <si>
    <t>Nonlinear Transport Equations from Statistical Mechanics</t>
  </si>
  <si>
    <t>Books</t>
  </si>
  <si>
    <t>Introduction to Fluid Dynamics</t>
  </si>
  <si>
    <t>reading..</t>
  </si>
  <si>
    <t>Fluid Mechanics</t>
  </si>
  <si>
    <t>Papers</t>
  </si>
  <si>
    <t>Fixed-bed column adsorption of carbon dioxide</t>
  </si>
  <si>
    <t>Enhancing CO2 Adsorption via Amine Impregnated Activated Carbon</t>
  </si>
  <si>
    <t>Methanol Production via CO2 Hydrogenation</t>
  </si>
  <si>
    <t>Drive</t>
  </si>
  <si>
    <t>Sutd library</t>
  </si>
  <si>
    <t>Optimizing amine-based adsorbents for direct air capture: A comprehensive
review of performance under diverse climatic conditions</t>
  </si>
  <si>
    <t>On Comparing Packed Beds and Monoliths for CO2 Capture from Air
Through Experiments, Theory, and Modelin</t>
  </si>
  <si>
    <t>Optimization of direct air capture processes using reactive transport models 
of adsorption-desorption cycle</t>
  </si>
  <si>
    <t xml:space="preserve">Numerical study on a structured packed adsorption bed for indoor direct 
air capture </t>
  </si>
  <si>
    <t>Mass transfer from a fluid flowing through a porous media</t>
  </si>
  <si>
    <t>A comprehensive review on direct air carbon capture (DAC) technology by
adsorption: From fundamentals to applications</t>
  </si>
  <si>
    <t>Techno-economic analysis of packed bed and structured adsorbent for
direct air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</si>
</sst>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 mmm\ yyyy"/>
  </numFmts>
  <fonts count="17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b/>
      <sz val="11"/>
      <color rgb="FFFFFFFF"/>
      <name val="Arial"/>
    </font>
    <font>
      <u/>
      <sz val="11"/>
      <color theme="1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ajor"/>
    </font>
    <font>
      <b/>
      <sz val="11"/>
      <color theme="1"/>
      <name val="Calibri"/>
      <scheme val="minor"/>
    </font>
    <font>
      <sz val="11"/>
      <color theme="6"/>
      <name val="Calibri"/>
      <family val="2"/>
      <scheme val="minor"/>
    </font>
    <font>
      <sz val="11"/>
      <color theme="5"/>
      <name val="Calibri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3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165" fontId="5" fillId="0" borderId="2" xfId="0" applyNumberFormat="1" applyFont="1" applyBorder="1" applyAlignment="1">
      <alignment vertical="top" wrapText="1"/>
    </xf>
    <xf numFmtId="0" fontId="4" fillId="0" borderId="2" xfId="0" applyFont="1" applyBorder="1"/>
    <xf numFmtId="0" fontId="3" fillId="0" borderId="2" xfId="0" applyFont="1" applyBorder="1"/>
    <xf numFmtId="0" fontId="3" fillId="7" borderId="2" xfId="0" applyFont="1" applyFill="1" applyBorder="1"/>
    <xf numFmtId="165" fontId="3" fillId="0" borderId="2" xfId="0" applyNumberFormat="1" applyFont="1" applyBorder="1" applyAlignment="1">
      <alignment vertical="top" wrapText="1"/>
    </xf>
    <xf numFmtId="0" fontId="12" fillId="0" borderId="7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1" fillId="0" borderId="10" xfId="0" applyFont="1" applyBorder="1"/>
    <xf numFmtId="0" fontId="11" fillId="0" borderId="11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1" fillId="0" borderId="12" xfId="0" applyFont="1" applyBorder="1" applyAlignment="1">
      <alignment horizontal="center" vertical="center" wrapText="1"/>
    </xf>
    <xf numFmtId="0" fontId="7" fillId="0" borderId="12" xfId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center" wrapText="1"/>
    </xf>
    <xf numFmtId="0" fontId="11" fillId="0" borderId="2" xfId="0" applyFont="1" applyBorder="1" applyAlignment="1">
      <alignment vertical="top" wrapText="1"/>
    </xf>
    <xf numFmtId="0" fontId="0" fillId="9" borderId="0" xfId="0" applyFill="1"/>
    <xf numFmtId="0" fontId="14" fillId="8" borderId="0" xfId="0" applyFont="1" applyFill="1"/>
    <xf numFmtId="0" fontId="15" fillId="9" borderId="0" xfId="0" applyFont="1" applyFill="1"/>
    <xf numFmtId="0" fontId="16" fillId="0" borderId="0" xfId="0" applyFont="1"/>
    <xf numFmtId="0" fontId="0" fillId="0" borderId="1" xfId="0" applyBorder="1"/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13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6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13" fillId="0" borderId="29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2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1" fillId="10" borderId="11" xfId="0" applyFont="1" applyFill="1" applyBorder="1" applyAlignment="1">
      <alignment wrapText="1"/>
    </xf>
    <xf numFmtId="0" fontId="0" fillId="10" borderId="0" xfId="0" applyFill="1"/>
    <xf numFmtId="0" fontId="0" fillId="0" borderId="0" xfId="0"/>
    <xf numFmtId="0" fontId="0" fillId="0" borderId="29" xfId="0" applyBorder="1"/>
    <xf numFmtId="0" fontId="0" fillId="0" borderId="29" xfId="0" applyBorder="1" applyAlignment="1">
      <alignment wrapText="1"/>
    </xf>
    <xf numFmtId="0" fontId="0" fillId="0" borderId="0" xfId="0" applyAlignment="1">
      <alignment wrapText="1"/>
    </xf>
    <xf numFmtId="0" fontId="7" fillId="0" borderId="0" xfId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7" fillId="0" borderId="1" xfId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abs/pii/S1570023216311187?via%3Dihub" TargetMode="External"/><Relationship Id="rId18" Type="http://schemas.openxmlformats.org/officeDocument/2006/relationships/hyperlink" Target="https://epubs.siam.org/doi/10.1137/0153024)" TargetMode="External"/><Relationship Id="rId26" Type="http://schemas.openxmlformats.org/officeDocument/2006/relationships/hyperlink" Target="https://sci-hub.ru/10.1021/acs.energyfuels.6b02800" TargetMode="External"/><Relationship Id="rId39" Type="http://schemas.openxmlformats.org/officeDocument/2006/relationships/hyperlink" Target="https://onedrive.live.com/?redeem=aHR0cHM6Ly8xZHJ2Lm1zL2IvYy8yMzcwNmNiNTRlNTRhMGY3L0lRQkluT2tPeTlELVFZMXdKUEtJcTJ6UEFlZHVsRHE5al9nYllSUGNJX0ZNVzl3&amp;cid=23706CB54E54A0F7&amp;id=23706CB54E54A0F7!s0ee99c48d0cb41fe8d7024f288ab6ccf&amp;parId=23706CB54E54A0F7!sd807de52fae441c79f0a755c1b4dae13&amp;o=OneUp" TargetMode="External"/><Relationship Id="rId21" Type="http://schemas.openxmlformats.org/officeDocument/2006/relationships/hyperlink" Target="https://academic.oup.com/ptps/article/doi/10.1143/PTPS.64.74/1872937" TargetMode="External"/><Relationship Id="rId34" Type="http://schemas.openxmlformats.org/officeDocument/2006/relationships/hyperlink" Target="https://onedrive.live.com/?redeem=aHR0cHM6Ly8xZHJ2Lm1zL2IvYy8yMzcwNmNiNTRlNTRhMGY3L0lRQVNJRi1sY1pvbFNKMExKemtmTnpzZ0FRWnN3YWFvMnVQNzFteGk3ZTBJTFdr&amp;cid=23706CB54E54A0F7&amp;id=23706CB54E54A0F7!sa55f20129a7148259d0b27391f373b20&amp;parId=23706CB54E54A0F7!sd807de52fae441c79f0a755c1b4dae13&amp;o=OneUp" TargetMode="External"/><Relationship Id="rId7" Type="http://schemas.openxmlformats.org/officeDocument/2006/relationships/hyperlink" Target="https://doi.org/10.1021%2Fla962111a" TargetMode="External"/><Relationship Id="rId12" Type="http://schemas.openxmlformats.org/officeDocument/2006/relationships/hyperlink" Target="https://drive.google.com/file/d/1WN-AYOAC_cfJhKwZY_57av2JsbTDwzIY/view?usp=sharing" TargetMode="External"/><Relationship Id="rId17" Type="http://schemas.openxmlformats.org/officeDocument/2006/relationships/hyperlink" Target="https://www2.mathematik.hu-berlin.de/publ/pre/2011/P-11-11.pdf" TargetMode="External"/><Relationship Id="rId25" Type="http://schemas.openxmlformats.org/officeDocument/2006/relationships/hyperlink" Target="https://drive.google.com/file/d/1lvBAsBruOPq6aGtlzKywbRM83dX-JvFz/view?usp=sharing" TargetMode="External"/><Relationship Id="rId33" Type="http://schemas.openxmlformats.org/officeDocument/2006/relationships/hyperlink" Target="https://sutd.primo.exlibrisgroup.com/discovery/search?vid=65SUTD_INST:65SUTD&amp;tab=default_tab&amp;search_scope=All&amp;search_scope=MyInst_and_CI&amp;mode=basic&amp;displayMode=full&amp;bulkSize=10&amp;highlight=true&amp;dum=true&amp;query=any,contains,sorbent&amp;displayField=all&amp;pcAvailabiltyMode=true&amp;pfilter=&amp;search_type=contains&amp;search_index=anySUTD%20Library" TargetMode="External"/><Relationship Id="rId38" Type="http://schemas.openxmlformats.org/officeDocument/2006/relationships/hyperlink" Target="https://onedrive.live.com/?redeem=aHR0cHM6Ly8xZHJ2Lm1zL2IvYy8yMzcwNmNiNTRlNTRhMGY3L0lRQWlTYjJ3ckZyblRvdVhLR3JRVGNENUFaZFVJZmRhR0lxU25nS3hsaERHaVFj&amp;cid=23706CB54E54A0F7&amp;id=23706CB54E54A0F7!sb0bd49225aac4ee78b97286ad04dc0f9&amp;parId=23706CB54E54A0F7!sd807de52fae441c79f0a755c1b4dae13&amp;o=OneUp" TargetMode="External"/><Relationship Id="rId2" Type="http://schemas.openxmlformats.org/officeDocument/2006/relationships/hyperlink" Target="https://books.google.com.sg/books?hl=en&amp;lr=&amp;id=jyipEAAAQBAJ&amp;oi=fnd&amp;pg=PP1&amp;ots=MoFfwBB0TR&amp;sig=7WKRT6tA9HuzuZh-tIUFTt-f23Y&amp;redir_esc=y" TargetMode="External"/><Relationship Id="rId16" Type="http://schemas.openxmlformats.org/officeDocument/2006/relationships/hyperlink" Target="https://drive.google.com/file/d/188O90LR4LxwdKvde8-KBFyQ3zaJMmrHf/view?usp=drive_link" TargetMode="External"/><Relationship Id="rId20" Type="http://schemas.openxmlformats.org/officeDocument/2006/relationships/hyperlink" Target="https://www.newcastle.edu.au/__data/assets/pdf_file/0003/22755/68_Numerical-modelling-of-competitive-components-transport-with-nonlinear-adsorption.pdf" TargetMode="External"/><Relationship Id="rId29" Type="http://schemas.openxmlformats.org/officeDocument/2006/relationships/hyperlink" Target="https://drive.google.com/file/d/1jmV6yJRrXEJXOo7aoXj-34Htuaykijls/view?usp=sharing" TargetMode="External"/><Relationship Id="rId1" Type="http://schemas.openxmlformats.org/officeDocument/2006/relationships/hyperlink" Target="https://www.engineeringtoolbox.com/CO2-carbon-dioxide-properties-d_2017.html" TargetMode="External"/><Relationship Id="rId6" Type="http://schemas.openxmlformats.org/officeDocument/2006/relationships/hyperlink" Target="https://ourworldindata.org/co2-and-other-greenhouse-gasemissions" TargetMode="External"/><Relationship Id="rId11" Type="http://schemas.openxmlformats.org/officeDocument/2006/relationships/hyperlink" Target="https://www.mdpi.com/1996-1944/16/7/2921" TargetMode="External"/><Relationship Id="rId24" Type="http://schemas.openxmlformats.org/officeDocument/2006/relationships/hyperlink" Target="https://www.sciencedirect.com/science/article/abs/pii/S1385894713010565?via%3Dihub" TargetMode="External"/><Relationship Id="rId32" Type="http://schemas.openxmlformats.org/officeDocument/2006/relationships/hyperlink" Target="https://drive.google.com/drive/folders/1IDahxtO3PgcatXsgMkMLCXKJKhoEyyk4" TargetMode="External"/><Relationship Id="rId37" Type="http://schemas.openxmlformats.org/officeDocument/2006/relationships/hyperlink" Target="https://onedrive.live.com/?redeem=aHR0cHM6Ly8xZHJ2Lm1zL2IvYy8yMzcwNmNiNTRlNTRhMGY3L0lRQ0thUzF4Nm1jVVJMOUVna00xdV9tS0FaWDVJbnY3clJKN2ZmRi1ELTBTbU9R&amp;cid=23706CB54E54A0F7&amp;id=23706CB54E54A0F7!s712d698a67ea4414bf44824335bbf98a&amp;parId=23706CB54E54A0F7!sd807de52fae441c79f0a755c1b4dae13&amp;o=OneUp" TargetMode="External"/><Relationship Id="rId40" Type="http://schemas.openxmlformats.org/officeDocument/2006/relationships/hyperlink" Target="https://statics.teams.cdn.office.net/evergreen-assets/safelinks/2/atp-safelinks.html" TargetMode="External"/><Relationship Id="rId5" Type="http://schemas.openxmlformats.org/officeDocument/2006/relationships/hyperlink" Target="https://doi.org/10.4186/ej.2019.23.4.29" TargetMode="External"/><Relationship Id="rId15" Type="http://schemas.openxmlformats.org/officeDocument/2006/relationships/hyperlink" Target="https://arxiv.org/abs/1805.01331" TargetMode="External"/><Relationship Id="rId23" Type="http://schemas.openxmlformats.org/officeDocument/2006/relationships/hyperlink" Target="https://www.damtp.cam.ac.uk/user/tong/fluids/fluids.pdf" TargetMode="External"/><Relationship Id="rId28" Type="http://schemas.openxmlformats.org/officeDocument/2006/relationships/hyperlink" Target="https://drive.google.com/file/d/1jmV6yJRrXEJXOo7aoXj-34Htuaykijls/view?usp=sharing" TargetMode="External"/><Relationship Id="rId36" Type="http://schemas.openxmlformats.org/officeDocument/2006/relationships/hyperlink" Target="https://onedrive.live.com/?redeem=aHR0cHM6Ly8xZHJ2Lm1zL2IvYy8yMzcwNmNiNTRlNTRhMGY3L0lRRFRoNWR2WGtnNlJJRlNTREpkbTE5eUFkQnpfU01IOHEzZDdjVUQ4aE5MZW93&amp;cid=23706CB54E54A0F7&amp;id=23706CB54E54A0F7!s6f9787d3485e443a815248325d9b5f72&amp;parId=23706CB54E54A0F7!sd807de52fae441c79f0a755c1b4dae13&amp;o=OneUp" TargetMode="External"/><Relationship Id="rId10" Type="http://schemas.openxmlformats.org/officeDocument/2006/relationships/hyperlink" Target="https://www.cheric.org/research/tech/periodicals/view.php?seq=282275" TargetMode="External"/><Relationship Id="rId19" Type="http://schemas.openxmlformats.org/officeDocument/2006/relationships/hyperlink" Target="https://drive.google.com/file/d/1qTwO2D5OHhigMeQyMdP4iXHu2jg26pd9/view?usp=drive_link" TargetMode="External"/><Relationship Id="rId31" Type="http://schemas.openxmlformats.org/officeDocument/2006/relationships/hyperlink" Target="https://sutd.primo.exlibrisgroup.com/discovery/search?vid=65SUTD_INST:65SUTD&amp;tab=default_tab&amp;search_scope=All&amp;search_scope=MyInst_and_CI&amp;mode=basic&amp;displayMode=full&amp;bulkSize=10&amp;highlight=true&amp;dum=true&amp;query=any,contains,sorbent&amp;displayField=all&amp;pcAvailabiltyMode=true&amp;pfilter=&amp;search_type=contains&amp;search_index=anySUTD%20Library" TargetMode="External"/><Relationship Id="rId4" Type="http://schemas.openxmlformats.org/officeDocument/2006/relationships/hyperlink" Target="https://www.jstage.jst.go.jp/article/jcej/33/1/33_1_103/_article" TargetMode="External"/><Relationship Id="rId9" Type="http://schemas.openxmlformats.org/officeDocument/2006/relationships/hyperlink" Target="https://doi.org/10.3390/pr9020201" TargetMode="External"/><Relationship Id="rId14" Type="http://schemas.openxmlformats.org/officeDocument/2006/relationships/hyperlink" Target="https://pubs.acs.org/doi/pdf/10.1021/acs.iecr.9b05383" TargetMode="External"/><Relationship Id="rId22" Type="http://schemas.openxmlformats.org/officeDocument/2006/relationships/hyperlink" Target="https://elmoukrie.com/wp-content/uploads/2022/04/g.-k.-batchelor-an-introduction-to-fluid-dynamics-cambridge-university-press-2000.pdf" TargetMode="External"/><Relationship Id="rId27" Type="http://schemas.openxmlformats.org/officeDocument/2006/relationships/hyperlink" Target="https://drive.google.com/file/d/1_b5SprOcYCQQtY4FGdEhO15c6hXbno_N/view?usp=sharing" TargetMode="External"/><Relationship Id="rId30" Type="http://schemas.openxmlformats.org/officeDocument/2006/relationships/hyperlink" Target="https://drive.google.com/drive/folders/1IDahxtO3PgcatXsgMkMLCXKJKhoEyyk4" TargetMode="External"/><Relationship Id="rId35" Type="http://schemas.openxmlformats.org/officeDocument/2006/relationships/hyperlink" Target="https://onedrive.live.com/?redeem=aHR0cHM6Ly8xZHJ2Lm1zL2IvYy8yMzcwNmNiNTRlNTRhMGY3L0lRQVROOWo5T2FKbFNKd2F6Yy1fdGhUaEFUUWE2Y2R3UkdoYy1iX3pubWZ4b2Rz&amp;cid=23706CB54E54A0F7&amp;id=23706CB54E54A0F7!sfdd83713a23948659c1acdcfbfb614e1&amp;parId=23706CB54E54A0F7!sd807de52fae441c79f0a755c1b4dae13&amp;o=OneUp" TargetMode="External"/><Relationship Id="rId8" Type="http://schemas.openxmlformats.org/officeDocument/2006/relationships/hyperlink" Target="https://doi.org/10.1016/j.energy.2014.09.079" TargetMode="External"/><Relationship Id="rId3" Type="http://schemas.openxmlformats.org/officeDocument/2006/relationships/hyperlink" Target="https://doi.org/10.1016/j.ijggc.2019.05.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pane ySplit="1" topLeftCell="A2" activePane="bottomLeft" state="frozen"/>
      <selection pane="bottomLeft" activeCell="A12" sqref="A12:B21"/>
    </sheetView>
  </sheetViews>
  <sheetFormatPr defaultColWidth="14.42578125" defaultRowHeight="15" customHeight="1" x14ac:dyDescent="0.25"/>
  <cols>
    <col min="1" max="1" width="28" customWidth="1"/>
    <col min="2" max="2" width="90" customWidth="1"/>
    <col min="3" max="26" width="8.7109375" customWidth="1"/>
  </cols>
  <sheetData>
    <row r="1" spans="1:4" ht="25.5" customHeight="1" x14ac:dyDescent="0.25">
      <c r="A1" s="59" t="s">
        <v>0</v>
      </c>
      <c r="B1" s="60"/>
      <c r="C1" s="60"/>
      <c r="D1" s="60"/>
    </row>
    <row r="3" spans="1:4" x14ac:dyDescent="0.25">
      <c r="A3" s="1" t="s">
        <v>1</v>
      </c>
      <c r="B3" s="2" t="s">
        <v>2</v>
      </c>
    </row>
    <row r="4" spans="1:4" x14ac:dyDescent="0.25">
      <c r="A4" s="1" t="s">
        <v>3</v>
      </c>
      <c r="B4" s="2" t="s">
        <v>4</v>
      </c>
    </row>
    <row r="5" spans="1:4" x14ac:dyDescent="0.25">
      <c r="A5" s="1" t="s">
        <v>5</v>
      </c>
      <c r="B5" s="2" t="s">
        <v>6</v>
      </c>
    </row>
    <row r="6" spans="1:4" x14ac:dyDescent="0.25">
      <c r="A6" s="1" t="s">
        <v>7</v>
      </c>
      <c r="B6" s="2" t="s">
        <v>8</v>
      </c>
    </row>
    <row r="7" spans="1:4" x14ac:dyDescent="0.25">
      <c r="A7" s="1" t="s">
        <v>9</v>
      </c>
      <c r="B7" s="2" t="s">
        <v>10</v>
      </c>
    </row>
    <row r="8" spans="1:4" x14ac:dyDescent="0.25">
      <c r="A8" s="1" t="s">
        <v>11</v>
      </c>
      <c r="B8" s="3">
        <v>46132</v>
      </c>
    </row>
    <row r="9" spans="1:4" x14ac:dyDescent="0.25">
      <c r="A9" s="1" t="s">
        <v>12</v>
      </c>
      <c r="B9" s="2" t="s">
        <v>13</v>
      </c>
    </row>
    <row r="11" spans="1:4" x14ac:dyDescent="0.25">
      <c r="A11" s="4" t="s">
        <v>14</v>
      </c>
    </row>
    <row r="12" spans="1:4" x14ac:dyDescent="0.25">
      <c r="A12" s="5" t="s">
        <v>15</v>
      </c>
      <c r="B12" s="6" t="s">
        <v>16</v>
      </c>
    </row>
    <row r="13" spans="1:4" x14ac:dyDescent="0.25">
      <c r="A13" s="5" t="s">
        <v>17</v>
      </c>
      <c r="B13" s="6" t="s">
        <v>18</v>
      </c>
    </row>
    <row r="14" spans="1:4" x14ac:dyDescent="0.25">
      <c r="A14" s="5" t="s">
        <v>19</v>
      </c>
      <c r="B14" s="6" t="s">
        <v>20</v>
      </c>
    </row>
    <row r="15" spans="1:4" x14ac:dyDescent="0.25">
      <c r="A15" s="5" t="s">
        <v>21</v>
      </c>
      <c r="B15" s="6" t="s">
        <v>22</v>
      </c>
    </row>
    <row r="16" spans="1:4" x14ac:dyDescent="0.25">
      <c r="A16" s="5" t="s">
        <v>23</v>
      </c>
      <c r="B16" s="6" t="s">
        <v>24</v>
      </c>
    </row>
    <row r="17" spans="1:2" x14ac:dyDescent="0.25">
      <c r="A17" s="5" t="s">
        <v>25</v>
      </c>
      <c r="B17" s="6" t="s">
        <v>26</v>
      </c>
    </row>
    <row r="18" spans="1:2" x14ac:dyDescent="0.25">
      <c r="A18" s="5" t="s">
        <v>27</v>
      </c>
      <c r="B18" s="6" t="s">
        <v>28</v>
      </c>
    </row>
    <row r="19" spans="1:2" x14ac:dyDescent="0.25">
      <c r="A19" s="5" t="s">
        <v>29</v>
      </c>
      <c r="B19" s="6" t="s">
        <v>30</v>
      </c>
    </row>
    <row r="20" spans="1:2" ht="15" customHeight="1" x14ac:dyDescent="0.25">
      <c r="A20" s="21" t="s">
        <v>31</v>
      </c>
    </row>
    <row r="21" spans="1:2" ht="15.75" customHeight="1" x14ac:dyDescent="0.25">
      <c r="A21" s="21" t="s">
        <v>32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 x14ac:dyDescent="0.25"/>
  <cols>
    <col min="1" max="1" width="6" customWidth="1"/>
    <col min="2" max="2" width="18" customWidth="1"/>
    <col min="3" max="3" width="15" customWidth="1"/>
    <col min="4" max="4" width="32" customWidth="1"/>
    <col min="5" max="5" width="38" customWidth="1"/>
    <col min="6" max="7" width="28" customWidth="1"/>
    <col min="8" max="8" width="12" customWidth="1"/>
    <col min="9" max="26" width="8.7109375" customWidth="1"/>
  </cols>
  <sheetData>
    <row r="1" spans="1:8" ht="25.5" customHeight="1" x14ac:dyDescent="0.25">
      <c r="A1" s="59" t="s">
        <v>33</v>
      </c>
      <c r="B1" s="60"/>
      <c r="C1" s="60"/>
      <c r="D1" s="60"/>
      <c r="E1" s="60"/>
      <c r="F1" s="60"/>
      <c r="G1" s="60"/>
      <c r="H1" s="60"/>
    </row>
    <row r="3" spans="1:8" x14ac:dyDescent="0.25">
      <c r="A3" s="7" t="s">
        <v>34</v>
      </c>
      <c r="B3" s="7" t="s">
        <v>35</v>
      </c>
      <c r="C3" s="7" t="s">
        <v>36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41</v>
      </c>
    </row>
    <row r="4" spans="1:8" ht="69.75" customHeight="1" x14ac:dyDescent="0.25">
      <c r="A4" s="1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/>
    </row>
    <row r="5" spans="1:8" ht="69.75" customHeight="1" x14ac:dyDescent="0.25">
      <c r="A5" s="1" t="s">
        <v>49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/>
      <c r="H5" s="6"/>
    </row>
    <row r="6" spans="1:8" ht="69.75" customHeight="1" x14ac:dyDescent="0.25">
      <c r="A6" s="8" t="s">
        <v>55</v>
      </c>
      <c r="B6" s="9" t="s">
        <v>56</v>
      </c>
      <c r="C6" s="9" t="s">
        <v>57</v>
      </c>
      <c r="D6" s="9" t="s">
        <v>58</v>
      </c>
      <c r="E6" s="9" t="s">
        <v>59</v>
      </c>
      <c r="F6" s="9" t="s">
        <v>60</v>
      </c>
      <c r="G6" s="9" t="s">
        <v>61</v>
      </c>
      <c r="H6" s="9"/>
    </row>
    <row r="7" spans="1:8" ht="69.75" customHeight="1" x14ac:dyDescent="0.25">
      <c r="A7" s="10" t="s">
        <v>62</v>
      </c>
      <c r="B7" s="11" t="s">
        <v>63</v>
      </c>
      <c r="C7" s="11" t="s">
        <v>64</v>
      </c>
      <c r="D7" s="11" t="s">
        <v>65</v>
      </c>
      <c r="E7" s="11" t="s">
        <v>66</v>
      </c>
      <c r="F7" s="11" t="s">
        <v>67</v>
      </c>
      <c r="G7" s="11" t="s">
        <v>68</v>
      </c>
      <c r="H7" s="11"/>
    </row>
    <row r="8" spans="1:8" ht="69.75" customHeight="1" x14ac:dyDescent="0.25">
      <c r="A8" s="8" t="s">
        <v>69</v>
      </c>
      <c r="B8" s="9" t="s">
        <v>70</v>
      </c>
      <c r="C8" s="9" t="s">
        <v>71</v>
      </c>
      <c r="D8" s="9" t="s">
        <v>72</v>
      </c>
      <c r="E8" s="9" t="s">
        <v>73</v>
      </c>
      <c r="F8" s="9" t="s">
        <v>74</v>
      </c>
      <c r="G8" s="9" t="s">
        <v>75</v>
      </c>
      <c r="H8" s="9"/>
    </row>
    <row r="9" spans="1:8" ht="69.75" customHeight="1" x14ac:dyDescent="0.25">
      <c r="A9" s="10" t="s">
        <v>76</v>
      </c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/>
    </row>
    <row r="10" spans="1:8" ht="69.75" customHeight="1" x14ac:dyDescent="0.25">
      <c r="A10" s="8" t="s">
        <v>83</v>
      </c>
      <c r="B10" s="9" t="s">
        <v>84</v>
      </c>
      <c r="C10" s="9" t="s">
        <v>85</v>
      </c>
      <c r="D10" s="9" t="s">
        <v>86</v>
      </c>
      <c r="E10" s="9" t="s">
        <v>87</v>
      </c>
      <c r="F10" s="9" t="s">
        <v>88</v>
      </c>
      <c r="G10" s="9" t="s">
        <v>89</v>
      </c>
      <c r="H10" s="9"/>
    </row>
    <row r="11" spans="1:8" ht="69.75" customHeight="1" x14ac:dyDescent="0.25">
      <c r="A11" s="1" t="s">
        <v>90</v>
      </c>
      <c r="B11" s="6" t="s">
        <v>91</v>
      </c>
      <c r="C11" s="6" t="s">
        <v>92</v>
      </c>
      <c r="D11" s="6" t="s">
        <v>93</v>
      </c>
      <c r="E11" s="6" t="s">
        <v>94</v>
      </c>
      <c r="F11" s="6" t="s">
        <v>95</v>
      </c>
      <c r="G11" s="6"/>
      <c r="H11" s="6"/>
    </row>
    <row r="12" spans="1:8" ht="69.75" customHeight="1" x14ac:dyDescent="0.25">
      <c r="A12" s="12" t="s">
        <v>96</v>
      </c>
      <c r="B12" s="13" t="s">
        <v>97</v>
      </c>
      <c r="C12" s="13" t="s">
        <v>98</v>
      </c>
      <c r="D12" s="13" t="s">
        <v>99</v>
      </c>
      <c r="E12" s="13" t="s">
        <v>86</v>
      </c>
      <c r="F12" s="13" t="s">
        <v>86</v>
      </c>
      <c r="G12" s="13" t="s">
        <v>100</v>
      </c>
      <c r="H12" s="13"/>
    </row>
    <row r="13" spans="1:8" ht="69.75" customHeight="1" x14ac:dyDescent="0.25">
      <c r="A13" s="12" t="s">
        <v>101</v>
      </c>
      <c r="B13" s="13" t="s">
        <v>102</v>
      </c>
      <c r="C13" s="13" t="s">
        <v>98</v>
      </c>
      <c r="D13" s="13" t="s">
        <v>103</v>
      </c>
      <c r="E13" s="13" t="s">
        <v>86</v>
      </c>
      <c r="F13" s="13" t="s">
        <v>86</v>
      </c>
      <c r="G13" s="13" t="s">
        <v>100</v>
      </c>
      <c r="H13" s="13"/>
    </row>
    <row r="14" spans="1:8" ht="69.75" customHeight="1" x14ac:dyDescent="0.25">
      <c r="A14" s="1" t="s">
        <v>104</v>
      </c>
      <c r="B14" s="6" t="s">
        <v>105</v>
      </c>
      <c r="C14" s="6" t="s">
        <v>106</v>
      </c>
      <c r="D14" s="6" t="s">
        <v>107</v>
      </c>
      <c r="E14" s="6" t="s">
        <v>108</v>
      </c>
      <c r="F14" s="6" t="s">
        <v>109</v>
      </c>
      <c r="G14" s="6"/>
      <c r="H14" s="6"/>
    </row>
    <row r="15" spans="1:8" ht="69.75" customHeight="1" x14ac:dyDescent="0.25">
      <c r="A15" s="1" t="s">
        <v>110</v>
      </c>
      <c r="B15" s="6" t="s">
        <v>111</v>
      </c>
      <c r="C15" s="6" t="s">
        <v>112</v>
      </c>
      <c r="D15" s="6" t="s">
        <v>113</v>
      </c>
      <c r="E15" s="6" t="s">
        <v>114</v>
      </c>
      <c r="F15" s="6" t="s">
        <v>115</v>
      </c>
      <c r="G15" s="6"/>
      <c r="H15" s="6"/>
    </row>
    <row r="16" spans="1:8" ht="69.75" customHeight="1" x14ac:dyDescent="0.25">
      <c r="A16" s="8" t="s">
        <v>116</v>
      </c>
      <c r="B16" s="9" t="s">
        <v>117</v>
      </c>
      <c r="C16" s="9" t="s">
        <v>118</v>
      </c>
      <c r="D16" s="9" t="s">
        <v>119</v>
      </c>
      <c r="E16" s="9" t="s">
        <v>120</v>
      </c>
      <c r="F16" s="9" t="s">
        <v>121</v>
      </c>
      <c r="G16" s="9" t="s">
        <v>122</v>
      </c>
      <c r="H16" s="9"/>
    </row>
    <row r="17" spans="1:8" ht="69.75" customHeight="1" x14ac:dyDescent="0.25">
      <c r="A17" s="1" t="s">
        <v>123</v>
      </c>
      <c r="B17" s="6" t="s">
        <v>124</v>
      </c>
      <c r="C17" s="6" t="s">
        <v>125</v>
      </c>
      <c r="D17" s="6" t="s">
        <v>126</v>
      </c>
      <c r="E17" s="6" t="s">
        <v>127</v>
      </c>
      <c r="F17" s="6" t="s">
        <v>128</v>
      </c>
      <c r="G17" s="6"/>
      <c r="H17" s="6"/>
    </row>
    <row r="18" spans="1:8" ht="69.75" customHeight="1" x14ac:dyDescent="0.25">
      <c r="A18" s="8" t="s">
        <v>129</v>
      </c>
      <c r="B18" s="9" t="s">
        <v>130</v>
      </c>
      <c r="C18" s="9" t="s">
        <v>131</v>
      </c>
      <c r="D18" s="9" t="s">
        <v>86</v>
      </c>
      <c r="E18" s="9" t="s">
        <v>132</v>
      </c>
      <c r="F18" s="9" t="s">
        <v>133</v>
      </c>
      <c r="G18" s="9" t="s">
        <v>134</v>
      </c>
      <c r="H18" s="9"/>
    </row>
    <row r="19" spans="1:8" ht="69.75" customHeight="1" x14ac:dyDescent="0.25">
      <c r="A19" s="1" t="s">
        <v>135</v>
      </c>
      <c r="B19" s="6" t="s">
        <v>136</v>
      </c>
      <c r="C19" s="6" t="s">
        <v>137</v>
      </c>
      <c r="D19" s="6" t="s">
        <v>86</v>
      </c>
      <c r="E19" s="6" t="s">
        <v>138</v>
      </c>
      <c r="F19" s="6" t="s">
        <v>139</v>
      </c>
      <c r="G19" s="6"/>
      <c r="H19" s="6"/>
    </row>
    <row r="20" spans="1:8" ht="69.75" customHeight="1" x14ac:dyDescent="0.25">
      <c r="A20" s="8" t="s">
        <v>140</v>
      </c>
      <c r="B20" s="9" t="s">
        <v>141</v>
      </c>
      <c r="C20" s="9" t="s">
        <v>142</v>
      </c>
      <c r="D20" s="9" t="s">
        <v>86</v>
      </c>
      <c r="E20" s="9" t="s">
        <v>86</v>
      </c>
      <c r="F20" s="9" t="s">
        <v>143</v>
      </c>
      <c r="G20" s="9" t="s">
        <v>144</v>
      </c>
      <c r="H20" s="9"/>
    </row>
    <row r="21" spans="1:8" ht="69.75" customHeight="1" x14ac:dyDescent="0.25">
      <c r="A21" s="8" t="s">
        <v>145</v>
      </c>
      <c r="B21" s="9" t="s">
        <v>146</v>
      </c>
      <c r="C21" s="9" t="s">
        <v>147</v>
      </c>
      <c r="D21" s="9" t="s">
        <v>86</v>
      </c>
      <c r="E21" s="9" t="s">
        <v>86</v>
      </c>
      <c r="F21" s="9" t="s">
        <v>148</v>
      </c>
      <c r="G21" s="9" t="s">
        <v>149</v>
      </c>
      <c r="H21" s="9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H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" customWidth="1"/>
    <col min="2" max="2" width="36" customWidth="1"/>
    <col min="3" max="3" width="14" customWidth="1"/>
    <col min="4" max="4" width="10" customWidth="1"/>
    <col min="5" max="5" width="32" customWidth="1"/>
    <col min="6" max="6" width="14" customWidth="1"/>
    <col min="7" max="7" width="36" customWidth="1"/>
    <col min="8" max="26" width="8.7109375" customWidth="1"/>
  </cols>
  <sheetData>
    <row r="1" spans="1:7" ht="25.5" customHeight="1" x14ac:dyDescent="0.25">
      <c r="A1" s="59" t="s">
        <v>150</v>
      </c>
      <c r="B1" s="60"/>
      <c r="C1" s="60"/>
      <c r="D1" s="60"/>
      <c r="E1" s="60"/>
      <c r="F1" s="60"/>
      <c r="G1" s="60"/>
    </row>
    <row r="3" spans="1:7" x14ac:dyDescent="0.25">
      <c r="A3" s="7" t="s">
        <v>34</v>
      </c>
      <c r="B3" s="7" t="s">
        <v>151</v>
      </c>
      <c r="C3" s="7" t="s">
        <v>152</v>
      </c>
      <c r="D3" s="7" t="s">
        <v>153</v>
      </c>
      <c r="E3" s="7" t="s">
        <v>154</v>
      </c>
      <c r="F3" s="7" t="s">
        <v>41</v>
      </c>
      <c r="G3" s="7" t="s">
        <v>155</v>
      </c>
    </row>
    <row r="4" spans="1:7" ht="30" customHeight="1" x14ac:dyDescent="0.25">
      <c r="A4" s="1">
        <v>3</v>
      </c>
      <c r="B4" s="6" t="s">
        <v>156</v>
      </c>
      <c r="C4" s="14">
        <v>46146</v>
      </c>
      <c r="D4" s="6" t="s">
        <v>157</v>
      </c>
      <c r="E4" s="6" t="s">
        <v>7</v>
      </c>
      <c r="F4" s="6" t="s">
        <v>158</v>
      </c>
      <c r="G4" s="6"/>
    </row>
    <row r="5" spans="1:7" ht="30" customHeight="1" x14ac:dyDescent="0.25">
      <c r="A5" s="1">
        <v>5</v>
      </c>
      <c r="B5" s="6" t="s">
        <v>159</v>
      </c>
      <c r="C5" s="14">
        <v>46160</v>
      </c>
      <c r="D5" s="6" t="s">
        <v>157</v>
      </c>
      <c r="E5" s="6" t="s">
        <v>7</v>
      </c>
      <c r="F5" s="6" t="s">
        <v>158</v>
      </c>
      <c r="G5" s="6"/>
    </row>
    <row r="6" spans="1:7" ht="30" customHeight="1" x14ac:dyDescent="0.25">
      <c r="A6" s="1">
        <v>7</v>
      </c>
      <c r="B6" s="6" t="s">
        <v>160</v>
      </c>
      <c r="C6" s="14">
        <v>46174</v>
      </c>
      <c r="D6" s="6" t="s">
        <v>161</v>
      </c>
      <c r="E6" s="6" t="s">
        <v>162</v>
      </c>
      <c r="F6" s="6" t="s">
        <v>158</v>
      </c>
      <c r="G6" s="6" t="s">
        <v>163</v>
      </c>
    </row>
    <row r="7" spans="1:7" ht="30" customHeight="1" x14ac:dyDescent="0.25">
      <c r="A7" s="1">
        <v>7</v>
      </c>
      <c r="B7" s="6" t="s">
        <v>164</v>
      </c>
      <c r="C7" s="14">
        <v>46178</v>
      </c>
      <c r="D7" s="6" t="s">
        <v>165</v>
      </c>
      <c r="E7" s="6" t="s">
        <v>166</v>
      </c>
      <c r="F7" s="6" t="s">
        <v>158</v>
      </c>
      <c r="G7" s="6" t="s">
        <v>167</v>
      </c>
    </row>
    <row r="8" spans="1:7" ht="30" customHeight="1" x14ac:dyDescent="0.25">
      <c r="A8" s="1">
        <v>7</v>
      </c>
      <c r="B8" s="6" t="s">
        <v>168</v>
      </c>
      <c r="C8" s="14">
        <v>46178</v>
      </c>
      <c r="D8" s="6" t="s">
        <v>161</v>
      </c>
      <c r="E8" s="6" t="s">
        <v>7</v>
      </c>
      <c r="F8" s="6" t="s">
        <v>158</v>
      </c>
      <c r="G8" s="6" t="s">
        <v>167</v>
      </c>
    </row>
    <row r="9" spans="1:7" ht="30" customHeight="1" x14ac:dyDescent="0.25">
      <c r="A9" s="1">
        <v>13</v>
      </c>
      <c r="B9" s="6" t="s">
        <v>169</v>
      </c>
      <c r="C9" s="14">
        <v>46216</v>
      </c>
      <c r="D9" s="6" t="s">
        <v>157</v>
      </c>
      <c r="E9" s="6" t="s">
        <v>7</v>
      </c>
      <c r="F9" s="6" t="s">
        <v>158</v>
      </c>
      <c r="G9" s="6"/>
    </row>
    <row r="10" spans="1:7" ht="30" customHeight="1" x14ac:dyDescent="0.25">
      <c r="A10" s="1">
        <v>15</v>
      </c>
      <c r="B10" s="6" t="s">
        <v>170</v>
      </c>
      <c r="C10" s="14">
        <v>46230</v>
      </c>
      <c r="D10" s="6" t="s">
        <v>157</v>
      </c>
      <c r="E10" s="6" t="s">
        <v>7</v>
      </c>
      <c r="F10" s="6" t="s">
        <v>158</v>
      </c>
      <c r="G10" s="6"/>
    </row>
    <row r="11" spans="1:7" ht="30" customHeight="1" x14ac:dyDescent="0.25">
      <c r="A11" s="1">
        <v>17</v>
      </c>
      <c r="B11" s="6" t="s">
        <v>171</v>
      </c>
      <c r="C11" s="14">
        <v>46244</v>
      </c>
      <c r="D11" s="6" t="s">
        <v>161</v>
      </c>
      <c r="E11" s="6" t="s">
        <v>162</v>
      </c>
      <c r="F11" s="6" t="s">
        <v>158</v>
      </c>
      <c r="G11" s="6" t="s">
        <v>172</v>
      </c>
    </row>
    <row r="12" spans="1:7" ht="30" customHeight="1" x14ac:dyDescent="0.25">
      <c r="A12" s="1">
        <v>18</v>
      </c>
      <c r="B12" s="6" t="s">
        <v>173</v>
      </c>
      <c r="C12" s="14">
        <v>46253</v>
      </c>
      <c r="D12" s="6" t="s">
        <v>165</v>
      </c>
      <c r="E12" s="6" t="s">
        <v>166</v>
      </c>
      <c r="F12" s="6" t="s">
        <v>158</v>
      </c>
      <c r="G12" s="6"/>
    </row>
    <row r="13" spans="1:7" ht="30" customHeight="1" x14ac:dyDescent="0.25">
      <c r="A13" s="1">
        <v>18</v>
      </c>
      <c r="B13" s="6" t="s">
        <v>174</v>
      </c>
      <c r="C13" s="14">
        <v>46253</v>
      </c>
      <c r="D13" s="6" t="s">
        <v>161</v>
      </c>
      <c r="E13" s="6" t="s">
        <v>7</v>
      </c>
      <c r="F13" s="6" t="s">
        <v>158</v>
      </c>
      <c r="G13" s="6"/>
    </row>
    <row r="14" spans="1:7" ht="30" customHeight="1" x14ac:dyDescent="0.25">
      <c r="A14" s="1">
        <v>18</v>
      </c>
      <c r="B14" s="6" t="s">
        <v>175</v>
      </c>
      <c r="C14" s="14">
        <v>46253</v>
      </c>
      <c r="D14" s="6" t="s">
        <v>161</v>
      </c>
      <c r="E14" s="6" t="s">
        <v>176</v>
      </c>
      <c r="F14" s="6" t="s">
        <v>158</v>
      </c>
      <c r="G14" s="6" t="s">
        <v>177</v>
      </c>
    </row>
    <row r="15" spans="1:7" x14ac:dyDescent="0.25">
      <c r="A15" s="15"/>
      <c r="B15" s="16" t="s">
        <v>178</v>
      </c>
      <c r="C15" s="15"/>
      <c r="D15" s="17" t="s">
        <v>179</v>
      </c>
      <c r="E15" s="15"/>
      <c r="F15" s="15"/>
      <c r="G15" s="1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pane ySplit="3" topLeftCell="A4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28" customWidth="1"/>
    <col min="2" max="3" width="60" customWidth="1"/>
    <col min="4" max="26" width="8.7109375" customWidth="1"/>
  </cols>
  <sheetData>
    <row r="1" spans="1:3" ht="25.5" customHeight="1" x14ac:dyDescent="0.25">
      <c r="A1" s="59" t="s">
        <v>180</v>
      </c>
      <c r="B1" s="60"/>
      <c r="C1" s="60"/>
    </row>
    <row r="3" spans="1:3" x14ac:dyDescent="0.25">
      <c r="A3" s="7" t="s">
        <v>181</v>
      </c>
      <c r="B3" s="7" t="s">
        <v>182</v>
      </c>
      <c r="C3" s="7" t="s">
        <v>183</v>
      </c>
    </row>
    <row r="4" spans="1:3" ht="21.75" customHeight="1" x14ac:dyDescent="0.25">
      <c r="A4" s="61" t="s">
        <v>184</v>
      </c>
      <c r="B4" s="62"/>
      <c r="C4" s="62"/>
    </row>
    <row r="5" spans="1:3" ht="54.75" customHeight="1" x14ac:dyDescent="0.25">
      <c r="A5" s="1" t="s">
        <v>185</v>
      </c>
      <c r="B5" s="29" t="s">
        <v>186</v>
      </c>
      <c r="C5" s="29" t="s">
        <v>187</v>
      </c>
    </row>
    <row r="6" spans="1:3" ht="54.75" customHeight="1" x14ac:dyDescent="0.25">
      <c r="A6" s="1" t="s">
        <v>188</v>
      </c>
      <c r="B6" s="6" t="s">
        <v>189</v>
      </c>
      <c r="C6" s="6"/>
    </row>
    <row r="7" spans="1:3" ht="54.75" customHeight="1" x14ac:dyDescent="0.25">
      <c r="A7" s="1" t="s">
        <v>190</v>
      </c>
      <c r="B7" s="6" t="s">
        <v>191</v>
      </c>
      <c r="C7" s="6"/>
    </row>
    <row r="8" spans="1:3" ht="54.75" customHeight="1" x14ac:dyDescent="0.25">
      <c r="A8" s="1" t="s">
        <v>192</v>
      </c>
      <c r="B8" s="6" t="s">
        <v>193</v>
      </c>
      <c r="C8" s="6"/>
    </row>
    <row r="10" spans="1:3" ht="21.75" customHeight="1" x14ac:dyDescent="0.25">
      <c r="A10" s="61" t="s">
        <v>194</v>
      </c>
      <c r="B10" s="62"/>
      <c r="C10" s="62"/>
    </row>
    <row r="11" spans="1:3" ht="54.75" customHeight="1" x14ac:dyDescent="0.25">
      <c r="A11" s="1" t="s">
        <v>185</v>
      </c>
      <c r="B11" s="6" t="s">
        <v>195</v>
      </c>
      <c r="C11" s="6"/>
    </row>
    <row r="12" spans="1:3" ht="54.75" customHeight="1" x14ac:dyDescent="0.25">
      <c r="A12" s="1" t="s">
        <v>188</v>
      </c>
      <c r="B12" s="6" t="s">
        <v>196</v>
      </c>
      <c r="C12" s="6"/>
    </row>
    <row r="13" spans="1:3" ht="54.75" customHeight="1" x14ac:dyDescent="0.25">
      <c r="A13" s="1" t="s">
        <v>190</v>
      </c>
      <c r="B13" s="6"/>
      <c r="C13" s="6"/>
    </row>
    <row r="14" spans="1:3" ht="54.75" customHeight="1" x14ac:dyDescent="0.25">
      <c r="A14" s="1" t="s">
        <v>192</v>
      </c>
      <c r="B14" s="6" t="s">
        <v>197</v>
      </c>
      <c r="C14" s="6"/>
    </row>
    <row r="16" spans="1:3" ht="21.75" customHeight="1" x14ac:dyDescent="0.25">
      <c r="A16" s="61" t="s">
        <v>198</v>
      </c>
      <c r="B16" s="62"/>
      <c r="C16" s="62"/>
    </row>
    <row r="17" spans="1:3" ht="54.75" customHeight="1" x14ac:dyDescent="0.25">
      <c r="A17" s="1" t="s">
        <v>185</v>
      </c>
      <c r="B17" s="6" t="s">
        <v>199</v>
      </c>
      <c r="C17" s="6"/>
    </row>
    <row r="18" spans="1:3" ht="54.75" customHeight="1" x14ac:dyDescent="0.25">
      <c r="A18" s="1" t="s">
        <v>188</v>
      </c>
      <c r="B18" s="6" t="s">
        <v>200</v>
      </c>
      <c r="C18" s="6"/>
    </row>
    <row r="19" spans="1:3" ht="54.75" customHeight="1" x14ac:dyDescent="0.25">
      <c r="A19" s="1" t="s">
        <v>190</v>
      </c>
      <c r="B19" s="6"/>
      <c r="C19" s="6"/>
    </row>
    <row r="20" spans="1:3" ht="54.75" customHeight="1" x14ac:dyDescent="0.25">
      <c r="A20" s="1" t="s">
        <v>192</v>
      </c>
      <c r="B20" s="6" t="s">
        <v>201</v>
      </c>
      <c r="C20" s="6"/>
    </row>
    <row r="21" spans="1:3" ht="15.75" customHeight="1" x14ac:dyDescent="0.25"/>
    <row r="22" spans="1:3" ht="21.75" customHeight="1" x14ac:dyDescent="0.25">
      <c r="A22" s="61" t="s">
        <v>202</v>
      </c>
      <c r="B22" s="62"/>
      <c r="C22" s="62"/>
    </row>
    <row r="23" spans="1:3" ht="54.75" customHeight="1" x14ac:dyDescent="0.25">
      <c r="A23" s="1" t="s">
        <v>185</v>
      </c>
      <c r="B23" s="6" t="s">
        <v>203</v>
      </c>
      <c r="C23" s="6"/>
    </row>
    <row r="24" spans="1:3" ht="54.75" customHeight="1" x14ac:dyDescent="0.25">
      <c r="A24" s="1" t="s">
        <v>188</v>
      </c>
      <c r="B24" s="6" t="s">
        <v>204</v>
      </c>
      <c r="C24" s="6"/>
    </row>
    <row r="25" spans="1:3" ht="54.75" customHeight="1" x14ac:dyDescent="0.25">
      <c r="A25" s="1" t="s">
        <v>190</v>
      </c>
      <c r="B25" s="6"/>
      <c r="C25" s="6"/>
    </row>
    <row r="26" spans="1:3" ht="54.75" customHeight="1" x14ac:dyDescent="0.25">
      <c r="A26" s="1" t="s">
        <v>192</v>
      </c>
      <c r="B26" s="6" t="s">
        <v>205</v>
      </c>
      <c r="C26" s="6"/>
    </row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C1"/>
    <mergeCell ref="A4:C4"/>
    <mergeCell ref="A10:C10"/>
    <mergeCell ref="A16:C16"/>
    <mergeCell ref="A22:C22"/>
  </mergeCells>
  <pageMargins left="0.75" right="0.75" top="1" bottom="1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 x14ac:dyDescent="0.25"/>
  <cols>
    <col min="1" max="1" width="10" customWidth="1"/>
    <col min="2" max="2" width="12" customWidth="1"/>
    <col min="3" max="3" width="14" customWidth="1"/>
    <col min="4" max="4" width="12" customWidth="1"/>
    <col min="5" max="5" width="15" customWidth="1"/>
    <col min="6" max="7" width="10" customWidth="1"/>
    <col min="8" max="8" width="12" customWidth="1"/>
    <col min="9" max="9" width="14" customWidth="1"/>
    <col min="10" max="12" width="12" customWidth="1"/>
    <col min="13" max="26" width="8.7109375" customWidth="1"/>
  </cols>
  <sheetData>
    <row r="1" spans="1:12" ht="25.5" customHeight="1" x14ac:dyDescent="0.25">
      <c r="A1" s="59" t="s">
        <v>206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3" spans="1:12" ht="30" x14ac:dyDescent="0.25">
      <c r="A3" s="7" t="s">
        <v>207</v>
      </c>
      <c r="B3" s="7" t="s">
        <v>36</v>
      </c>
      <c r="C3" s="7" t="s">
        <v>208</v>
      </c>
      <c r="D3" s="7" t="s">
        <v>209</v>
      </c>
      <c r="E3" s="7" t="s">
        <v>210</v>
      </c>
      <c r="F3" s="7" t="s">
        <v>211</v>
      </c>
      <c r="G3" s="7" t="s">
        <v>212</v>
      </c>
      <c r="H3" s="7" t="s">
        <v>213</v>
      </c>
      <c r="I3" s="7" t="s">
        <v>41</v>
      </c>
      <c r="J3" s="7" t="s">
        <v>214</v>
      </c>
      <c r="K3" s="7" t="s">
        <v>215</v>
      </c>
      <c r="L3" s="7" t="s">
        <v>216</v>
      </c>
    </row>
    <row r="4" spans="1:12" x14ac:dyDescent="0.25">
      <c r="A4" s="1" t="s">
        <v>217</v>
      </c>
      <c r="B4" s="6" t="s">
        <v>218</v>
      </c>
      <c r="C4" s="6" t="s">
        <v>219</v>
      </c>
      <c r="D4" s="6">
        <v>100</v>
      </c>
      <c r="E4" s="6">
        <v>100</v>
      </c>
      <c r="F4" s="6">
        <v>15</v>
      </c>
      <c r="G4" s="6">
        <v>20</v>
      </c>
      <c r="H4" s="6">
        <v>6</v>
      </c>
      <c r="I4" s="6" t="s">
        <v>220</v>
      </c>
      <c r="J4" s="6"/>
      <c r="K4" s="6"/>
      <c r="L4" s="6"/>
    </row>
    <row r="5" spans="1:12" x14ac:dyDescent="0.25">
      <c r="A5" s="1" t="s">
        <v>221</v>
      </c>
      <c r="B5" s="6" t="s">
        <v>222</v>
      </c>
      <c r="C5" s="6" t="s">
        <v>223</v>
      </c>
      <c r="D5" s="6">
        <v>60</v>
      </c>
      <c r="E5" s="6">
        <v>100</v>
      </c>
      <c r="F5" s="6">
        <v>15</v>
      </c>
      <c r="G5" s="6">
        <v>20</v>
      </c>
      <c r="H5" s="6">
        <v>8</v>
      </c>
      <c r="I5" s="6" t="s">
        <v>220</v>
      </c>
      <c r="J5" s="6"/>
      <c r="K5" s="6"/>
      <c r="L5" s="6"/>
    </row>
    <row r="6" spans="1:12" x14ac:dyDescent="0.25">
      <c r="A6" s="1" t="s">
        <v>224</v>
      </c>
      <c r="B6" s="6" t="s">
        <v>222</v>
      </c>
      <c r="C6" s="6" t="s">
        <v>223</v>
      </c>
      <c r="D6" s="6">
        <v>80</v>
      </c>
      <c r="E6" s="6">
        <v>100</v>
      </c>
      <c r="F6" s="6">
        <v>15</v>
      </c>
      <c r="G6" s="6">
        <v>20</v>
      </c>
      <c r="H6" s="6">
        <v>8</v>
      </c>
      <c r="I6" s="6" t="s">
        <v>220</v>
      </c>
      <c r="J6" s="6"/>
      <c r="K6" s="6"/>
      <c r="L6" s="6"/>
    </row>
    <row r="7" spans="1:12" x14ac:dyDescent="0.25">
      <c r="A7" s="1" t="s">
        <v>225</v>
      </c>
      <c r="B7" s="6" t="s">
        <v>222</v>
      </c>
      <c r="C7" s="6" t="s">
        <v>223</v>
      </c>
      <c r="D7" s="6">
        <v>100</v>
      </c>
      <c r="E7" s="6">
        <v>100</v>
      </c>
      <c r="F7" s="6">
        <v>15</v>
      </c>
      <c r="G7" s="6">
        <v>20</v>
      </c>
      <c r="H7" s="6">
        <v>8</v>
      </c>
      <c r="I7" s="6" t="s">
        <v>220</v>
      </c>
      <c r="J7" s="6"/>
      <c r="K7" s="6"/>
      <c r="L7" s="6"/>
    </row>
    <row r="8" spans="1:12" x14ac:dyDescent="0.25">
      <c r="A8" s="1" t="s">
        <v>226</v>
      </c>
      <c r="B8" s="6" t="s">
        <v>222</v>
      </c>
      <c r="C8" s="6" t="s">
        <v>223</v>
      </c>
      <c r="D8" s="6">
        <v>120</v>
      </c>
      <c r="E8" s="6">
        <v>100</v>
      </c>
      <c r="F8" s="6">
        <v>15</v>
      </c>
      <c r="G8" s="6">
        <v>20</v>
      </c>
      <c r="H8" s="6">
        <v>8</v>
      </c>
      <c r="I8" s="6" t="s">
        <v>220</v>
      </c>
      <c r="J8" s="6"/>
      <c r="K8" s="6"/>
      <c r="L8" s="6"/>
    </row>
    <row r="9" spans="1:12" x14ac:dyDescent="0.25">
      <c r="A9" s="1" t="s">
        <v>227</v>
      </c>
      <c r="B9" s="6" t="s">
        <v>222</v>
      </c>
      <c r="C9" s="6" t="s">
        <v>223</v>
      </c>
      <c r="D9" s="6">
        <v>150</v>
      </c>
      <c r="E9" s="6">
        <v>100</v>
      </c>
      <c r="F9" s="6">
        <v>15</v>
      </c>
      <c r="G9" s="6">
        <v>20</v>
      </c>
      <c r="H9" s="6">
        <v>8</v>
      </c>
      <c r="I9" s="6" t="s">
        <v>220</v>
      </c>
      <c r="J9" s="6"/>
      <c r="K9" s="6"/>
      <c r="L9" s="6"/>
    </row>
    <row r="10" spans="1:12" x14ac:dyDescent="0.25">
      <c r="A10" s="1" t="s">
        <v>228</v>
      </c>
      <c r="B10" s="6" t="s">
        <v>222</v>
      </c>
      <c r="C10" s="6" t="s">
        <v>229</v>
      </c>
      <c r="D10" s="6">
        <v>100</v>
      </c>
      <c r="E10" s="6">
        <v>40</v>
      </c>
      <c r="F10" s="6">
        <v>15</v>
      </c>
      <c r="G10" s="6">
        <v>20</v>
      </c>
      <c r="H10" s="6">
        <v>8</v>
      </c>
      <c r="I10" s="6" t="s">
        <v>220</v>
      </c>
      <c r="J10" s="6"/>
      <c r="K10" s="6"/>
      <c r="L10" s="6"/>
    </row>
    <row r="11" spans="1:12" x14ac:dyDescent="0.25">
      <c r="A11" s="1" t="s">
        <v>230</v>
      </c>
      <c r="B11" s="6" t="s">
        <v>222</v>
      </c>
      <c r="C11" s="6" t="s">
        <v>229</v>
      </c>
      <c r="D11" s="6">
        <v>100</v>
      </c>
      <c r="E11" s="6">
        <v>100</v>
      </c>
      <c r="F11" s="6">
        <v>15</v>
      </c>
      <c r="G11" s="6">
        <v>20</v>
      </c>
      <c r="H11" s="6">
        <v>8</v>
      </c>
      <c r="I11" s="6" t="s">
        <v>220</v>
      </c>
      <c r="J11" s="6"/>
      <c r="K11" s="6"/>
      <c r="L11" s="6"/>
    </row>
    <row r="12" spans="1:12" x14ac:dyDescent="0.25">
      <c r="A12" s="1" t="s">
        <v>231</v>
      </c>
      <c r="B12" s="6" t="s">
        <v>222</v>
      </c>
      <c r="C12" s="6" t="s">
        <v>229</v>
      </c>
      <c r="D12" s="6">
        <v>100</v>
      </c>
      <c r="E12" s="6">
        <v>500</v>
      </c>
      <c r="F12" s="6">
        <v>15</v>
      </c>
      <c r="G12" s="6">
        <v>20</v>
      </c>
      <c r="H12" s="6">
        <v>8</v>
      </c>
      <c r="I12" s="6" t="s">
        <v>220</v>
      </c>
      <c r="J12" s="6"/>
      <c r="K12" s="6"/>
      <c r="L12" s="6"/>
    </row>
    <row r="13" spans="1:12" x14ac:dyDescent="0.25">
      <c r="A13" s="1" t="s">
        <v>232</v>
      </c>
      <c r="B13" s="6" t="s">
        <v>222</v>
      </c>
      <c r="C13" s="6" t="s">
        <v>233</v>
      </c>
      <c r="D13" s="6">
        <v>100</v>
      </c>
      <c r="E13" s="6">
        <v>100</v>
      </c>
      <c r="F13" s="6">
        <v>7.5</v>
      </c>
      <c r="G13" s="6">
        <v>20</v>
      </c>
      <c r="H13" s="6">
        <v>11</v>
      </c>
      <c r="I13" s="6" t="s">
        <v>220</v>
      </c>
      <c r="J13" s="6"/>
      <c r="K13" s="6"/>
      <c r="L13" s="6"/>
    </row>
    <row r="14" spans="1:12" x14ac:dyDescent="0.25">
      <c r="A14" s="1" t="s">
        <v>234</v>
      </c>
      <c r="B14" s="6" t="s">
        <v>222</v>
      </c>
      <c r="C14" s="6" t="s">
        <v>233</v>
      </c>
      <c r="D14" s="6">
        <v>100</v>
      </c>
      <c r="E14" s="6">
        <v>100</v>
      </c>
      <c r="F14" s="6">
        <v>15</v>
      </c>
      <c r="G14" s="6">
        <v>20</v>
      </c>
      <c r="H14" s="6">
        <v>11</v>
      </c>
      <c r="I14" s="6" t="s">
        <v>220</v>
      </c>
      <c r="J14" s="6"/>
      <c r="K14" s="6"/>
      <c r="L14" s="6"/>
    </row>
    <row r="15" spans="1:12" x14ac:dyDescent="0.25">
      <c r="A15" s="1" t="s">
        <v>235</v>
      </c>
      <c r="B15" s="6" t="s">
        <v>222</v>
      </c>
      <c r="C15" s="6" t="s">
        <v>233</v>
      </c>
      <c r="D15" s="6">
        <v>100</v>
      </c>
      <c r="E15" s="6">
        <v>100</v>
      </c>
      <c r="F15" s="6">
        <v>30</v>
      </c>
      <c r="G15" s="6">
        <v>20</v>
      </c>
      <c r="H15" s="6">
        <v>11</v>
      </c>
      <c r="I15" s="6" t="s">
        <v>220</v>
      </c>
      <c r="J15" s="6"/>
      <c r="K15" s="6"/>
      <c r="L15" s="6"/>
    </row>
    <row r="16" spans="1:12" x14ac:dyDescent="0.25">
      <c r="A16" s="1" t="s">
        <v>236</v>
      </c>
      <c r="B16" s="6" t="s">
        <v>222</v>
      </c>
      <c r="C16" s="6" t="s">
        <v>237</v>
      </c>
      <c r="D16" s="6">
        <v>100</v>
      </c>
      <c r="E16" s="6">
        <v>100</v>
      </c>
      <c r="F16" s="6">
        <v>15</v>
      </c>
      <c r="G16" s="6">
        <v>10</v>
      </c>
      <c r="H16" s="6">
        <v>11</v>
      </c>
      <c r="I16" s="6" t="s">
        <v>220</v>
      </c>
      <c r="J16" s="6"/>
      <c r="K16" s="6"/>
      <c r="L16" s="6"/>
    </row>
    <row r="17" spans="1:12" x14ac:dyDescent="0.25">
      <c r="A17" s="1" t="s">
        <v>238</v>
      </c>
      <c r="B17" s="6" t="s">
        <v>222</v>
      </c>
      <c r="C17" s="6" t="s">
        <v>237</v>
      </c>
      <c r="D17" s="6">
        <v>100</v>
      </c>
      <c r="E17" s="6">
        <v>100</v>
      </c>
      <c r="F17" s="6">
        <v>15</v>
      </c>
      <c r="G17" s="6">
        <v>20</v>
      </c>
      <c r="H17" s="6">
        <v>11</v>
      </c>
      <c r="I17" s="6" t="s">
        <v>220</v>
      </c>
      <c r="J17" s="6"/>
      <c r="K17" s="6"/>
      <c r="L17" s="6"/>
    </row>
    <row r="18" spans="1:12" x14ac:dyDescent="0.25">
      <c r="A18" s="1" t="s">
        <v>239</v>
      </c>
      <c r="B18" s="6" t="s">
        <v>222</v>
      </c>
      <c r="C18" s="6" t="s">
        <v>237</v>
      </c>
      <c r="D18" s="6">
        <v>100</v>
      </c>
      <c r="E18" s="6">
        <v>100</v>
      </c>
      <c r="F18" s="6">
        <v>15</v>
      </c>
      <c r="G18" s="6">
        <v>50</v>
      </c>
      <c r="H18" s="6">
        <v>11</v>
      </c>
      <c r="I18" s="6" t="s">
        <v>220</v>
      </c>
      <c r="J18" s="6"/>
      <c r="K18" s="6"/>
      <c r="L18" s="6"/>
    </row>
    <row r="19" spans="1:12" x14ac:dyDescent="0.25">
      <c r="A19" s="1" t="s">
        <v>240</v>
      </c>
      <c r="B19" s="6" t="s">
        <v>241</v>
      </c>
      <c r="C19" s="6" t="s">
        <v>242</v>
      </c>
      <c r="D19" s="6">
        <v>60</v>
      </c>
      <c r="E19" s="6">
        <v>40</v>
      </c>
      <c r="F19" s="6">
        <v>15</v>
      </c>
      <c r="G19" s="6">
        <v>20</v>
      </c>
      <c r="H19" s="6">
        <v>13</v>
      </c>
      <c r="I19" s="6" t="s">
        <v>220</v>
      </c>
      <c r="J19" s="6"/>
      <c r="K19" s="6"/>
      <c r="L19" s="6"/>
    </row>
    <row r="20" spans="1:12" x14ac:dyDescent="0.25">
      <c r="A20" s="1" t="s">
        <v>243</v>
      </c>
      <c r="B20" s="6" t="s">
        <v>241</v>
      </c>
      <c r="C20" s="6" t="s">
        <v>242</v>
      </c>
      <c r="D20" s="6">
        <v>60</v>
      </c>
      <c r="E20" s="6">
        <v>100</v>
      </c>
      <c r="F20" s="6">
        <v>15</v>
      </c>
      <c r="G20" s="6">
        <v>20</v>
      </c>
      <c r="H20" s="6">
        <v>13</v>
      </c>
      <c r="I20" s="6" t="s">
        <v>220</v>
      </c>
      <c r="J20" s="6"/>
      <c r="K20" s="6"/>
      <c r="L20" s="6"/>
    </row>
    <row r="21" spans="1:12" ht="15.75" customHeight="1" x14ac:dyDescent="0.25">
      <c r="A21" s="1" t="s">
        <v>244</v>
      </c>
      <c r="B21" s="6" t="s">
        <v>241</v>
      </c>
      <c r="C21" s="6" t="s">
        <v>242</v>
      </c>
      <c r="D21" s="6">
        <v>60</v>
      </c>
      <c r="E21" s="6">
        <v>500</v>
      </c>
      <c r="F21" s="6">
        <v>15</v>
      </c>
      <c r="G21" s="6">
        <v>20</v>
      </c>
      <c r="H21" s="6">
        <v>13</v>
      </c>
      <c r="I21" s="6" t="s">
        <v>220</v>
      </c>
      <c r="J21" s="6"/>
      <c r="K21" s="6"/>
      <c r="L21" s="6"/>
    </row>
    <row r="22" spans="1:12" ht="15.75" customHeight="1" x14ac:dyDescent="0.25">
      <c r="A22" s="1" t="s">
        <v>245</v>
      </c>
      <c r="B22" s="6" t="s">
        <v>241</v>
      </c>
      <c r="C22" s="6" t="s">
        <v>242</v>
      </c>
      <c r="D22" s="6">
        <v>80</v>
      </c>
      <c r="E22" s="6">
        <v>40</v>
      </c>
      <c r="F22" s="6">
        <v>15</v>
      </c>
      <c r="G22" s="6">
        <v>20</v>
      </c>
      <c r="H22" s="6">
        <v>13</v>
      </c>
      <c r="I22" s="6" t="s">
        <v>220</v>
      </c>
      <c r="J22" s="6"/>
      <c r="K22" s="6"/>
      <c r="L22" s="6"/>
    </row>
    <row r="23" spans="1:12" ht="15.75" customHeight="1" x14ac:dyDescent="0.25">
      <c r="A23" s="1" t="s">
        <v>246</v>
      </c>
      <c r="B23" s="6" t="s">
        <v>241</v>
      </c>
      <c r="C23" s="6" t="s">
        <v>242</v>
      </c>
      <c r="D23" s="6">
        <v>80</v>
      </c>
      <c r="E23" s="6">
        <v>100</v>
      </c>
      <c r="F23" s="6">
        <v>15</v>
      </c>
      <c r="G23" s="6">
        <v>20</v>
      </c>
      <c r="H23" s="6">
        <v>13</v>
      </c>
      <c r="I23" s="6" t="s">
        <v>220</v>
      </c>
      <c r="J23" s="6"/>
      <c r="K23" s="6"/>
      <c r="L23" s="6"/>
    </row>
    <row r="24" spans="1:12" ht="15.75" customHeight="1" x14ac:dyDescent="0.25">
      <c r="A24" s="1" t="s">
        <v>247</v>
      </c>
      <c r="B24" s="6" t="s">
        <v>241</v>
      </c>
      <c r="C24" s="6" t="s">
        <v>242</v>
      </c>
      <c r="D24" s="6">
        <v>80</v>
      </c>
      <c r="E24" s="6">
        <v>500</v>
      </c>
      <c r="F24" s="6">
        <v>15</v>
      </c>
      <c r="G24" s="6">
        <v>20</v>
      </c>
      <c r="H24" s="6">
        <v>13</v>
      </c>
      <c r="I24" s="6" t="s">
        <v>220</v>
      </c>
      <c r="J24" s="6"/>
      <c r="K24" s="6"/>
      <c r="L24" s="6"/>
    </row>
    <row r="25" spans="1:12" ht="15.75" customHeight="1" x14ac:dyDescent="0.25">
      <c r="A25" s="1" t="s">
        <v>248</v>
      </c>
      <c r="B25" s="6" t="s">
        <v>241</v>
      </c>
      <c r="C25" s="6" t="s">
        <v>242</v>
      </c>
      <c r="D25" s="6">
        <v>100</v>
      </c>
      <c r="E25" s="6">
        <v>40</v>
      </c>
      <c r="F25" s="6">
        <v>15</v>
      </c>
      <c r="G25" s="6">
        <v>20</v>
      </c>
      <c r="H25" s="6">
        <v>13</v>
      </c>
      <c r="I25" s="6" t="s">
        <v>220</v>
      </c>
      <c r="J25" s="6"/>
      <c r="K25" s="6"/>
      <c r="L25" s="6"/>
    </row>
    <row r="26" spans="1:12" ht="15.75" customHeight="1" x14ac:dyDescent="0.25">
      <c r="A26" s="1" t="s">
        <v>249</v>
      </c>
      <c r="B26" s="6" t="s">
        <v>241</v>
      </c>
      <c r="C26" s="6" t="s">
        <v>242</v>
      </c>
      <c r="D26" s="6">
        <v>100</v>
      </c>
      <c r="E26" s="6">
        <v>100</v>
      </c>
      <c r="F26" s="6">
        <v>15</v>
      </c>
      <c r="G26" s="6">
        <v>20</v>
      </c>
      <c r="H26" s="6">
        <v>13</v>
      </c>
      <c r="I26" s="6" t="s">
        <v>220</v>
      </c>
      <c r="J26" s="6"/>
      <c r="K26" s="6"/>
      <c r="L26" s="6"/>
    </row>
    <row r="27" spans="1:12" ht="15.75" customHeight="1" x14ac:dyDescent="0.25">
      <c r="A27" s="1" t="s">
        <v>250</v>
      </c>
      <c r="B27" s="6" t="s">
        <v>241</v>
      </c>
      <c r="C27" s="6" t="s">
        <v>242</v>
      </c>
      <c r="D27" s="6">
        <v>100</v>
      </c>
      <c r="E27" s="6">
        <v>500</v>
      </c>
      <c r="F27" s="6">
        <v>15</v>
      </c>
      <c r="G27" s="6">
        <v>20</v>
      </c>
      <c r="H27" s="6">
        <v>13</v>
      </c>
      <c r="I27" s="6" t="s">
        <v>220</v>
      </c>
      <c r="J27" s="6"/>
      <c r="K27" s="6"/>
      <c r="L27" s="6"/>
    </row>
    <row r="28" spans="1:12" ht="15.75" customHeight="1" x14ac:dyDescent="0.25">
      <c r="A28" s="1" t="s">
        <v>251</v>
      </c>
      <c r="B28" s="6" t="s">
        <v>241</v>
      </c>
      <c r="C28" s="6" t="s">
        <v>242</v>
      </c>
      <c r="D28" s="6">
        <v>120</v>
      </c>
      <c r="E28" s="6">
        <v>40</v>
      </c>
      <c r="F28" s="6">
        <v>15</v>
      </c>
      <c r="G28" s="6">
        <v>20</v>
      </c>
      <c r="H28" s="6">
        <v>13</v>
      </c>
      <c r="I28" s="6" t="s">
        <v>220</v>
      </c>
      <c r="J28" s="6"/>
      <c r="K28" s="6"/>
      <c r="L28" s="6"/>
    </row>
    <row r="29" spans="1:12" ht="15.75" customHeight="1" x14ac:dyDescent="0.25">
      <c r="A29" s="1" t="s">
        <v>252</v>
      </c>
      <c r="B29" s="6" t="s">
        <v>241</v>
      </c>
      <c r="C29" s="6" t="s">
        <v>242</v>
      </c>
      <c r="D29" s="6">
        <v>120</v>
      </c>
      <c r="E29" s="6">
        <v>100</v>
      </c>
      <c r="F29" s="6">
        <v>15</v>
      </c>
      <c r="G29" s="6">
        <v>20</v>
      </c>
      <c r="H29" s="6">
        <v>13</v>
      </c>
      <c r="I29" s="6" t="s">
        <v>220</v>
      </c>
      <c r="J29" s="6"/>
      <c r="K29" s="6"/>
      <c r="L29" s="6"/>
    </row>
    <row r="30" spans="1:12" ht="15.75" customHeight="1" x14ac:dyDescent="0.25">
      <c r="A30" s="1" t="s">
        <v>253</v>
      </c>
      <c r="B30" s="6" t="s">
        <v>241</v>
      </c>
      <c r="C30" s="6" t="s">
        <v>242</v>
      </c>
      <c r="D30" s="6">
        <v>120</v>
      </c>
      <c r="E30" s="6">
        <v>500</v>
      </c>
      <c r="F30" s="6">
        <v>15</v>
      </c>
      <c r="G30" s="6">
        <v>20</v>
      </c>
      <c r="H30" s="6">
        <v>13</v>
      </c>
      <c r="I30" s="6" t="s">
        <v>220</v>
      </c>
      <c r="J30" s="6"/>
      <c r="K30" s="6"/>
      <c r="L30" s="6"/>
    </row>
    <row r="31" spans="1:12" ht="15.75" customHeight="1" x14ac:dyDescent="0.25">
      <c r="A31" s="1" t="s">
        <v>254</v>
      </c>
      <c r="B31" s="6" t="s">
        <v>241</v>
      </c>
      <c r="C31" s="6" t="s">
        <v>242</v>
      </c>
      <c r="D31" s="6">
        <v>150</v>
      </c>
      <c r="E31" s="6">
        <v>40</v>
      </c>
      <c r="F31" s="6">
        <v>15</v>
      </c>
      <c r="G31" s="6">
        <v>20</v>
      </c>
      <c r="H31" s="6">
        <v>13</v>
      </c>
      <c r="I31" s="6" t="s">
        <v>220</v>
      </c>
      <c r="J31" s="6"/>
      <c r="K31" s="6"/>
      <c r="L31" s="6"/>
    </row>
    <row r="32" spans="1:12" ht="15.75" customHeight="1" x14ac:dyDescent="0.25">
      <c r="A32" s="1" t="s">
        <v>255</v>
      </c>
      <c r="B32" s="6" t="s">
        <v>241</v>
      </c>
      <c r="C32" s="6" t="s">
        <v>242</v>
      </c>
      <c r="D32" s="6">
        <v>150</v>
      </c>
      <c r="E32" s="6">
        <v>100</v>
      </c>
      <c r="F32" s="6">
        <v>15</v>
      </c>
      <c r="G32" s="6">
        <v>20</v>
      </c>
      <c r="H32" s="6">
        <v>13</v>
      </c>
      <c r="I32" s="6" t="s">
        <v>220</v>
      </c>
      <c r="J32" s="6"/>
      <c r="K32" s="6"/>
      <c r="L32" s="6"/>
    </row>
    <row r="33" spans="1:12" ht="15.75" customHeight="1" x14ac:dyDescent="0.25">
      <c r="A33" s="1" t="s">
        <v>256</v>
      </c>
      <c r="B33" s="6" t="s">
        <v>241</v>
      </c>
      <c r="C33" s="6" t="s">
        <v>242</v>
      </c>
      <c r="D33" s="6">
        <v>150</v>
      </c>
      <c r="E33" s="6">
        <v>500</v>
      </c>
      <c r="F33" s="6">
        <v>15</v>
      </c>
      <c r="G33" s="6">
        <v>20</v>
      </c>
      <c r="H33" s="6">
        <v>13</v>
      </c>
      <c r="I33" s="6" t="s">
        <v>220</v>
      </c>
      <c r="J33" s="6"/>
      <c r="K33" s="6"/>
      <c r="L33" s="6"/>
    </row>
    <row r="34" spans="1:12" ht="15.75" customHeight="1" x14ac:dyDescent="0.25">
      <c r="A34" s="1" t="s">
        <v>257</v>
      </c>
      <c r="B34" s="6" t="s">
        <v>258</v>
      </c>
      <c r="C34" s="6" t="s">
        <v>259</v>
      </c>
      <c r="D34" s="6">
        <v>100</v>
      </c>
      <c r="E34" s="6">
        <v>100</v>
      </c>
      <c r="F34" s="6">
        <v>15</v>
      </c>
      <c r="G34" s="6">
        <v>20</v>
      </c>
      <c r="H34" s="6">
        <v>4</v>
      </c>
      <c r="I34" s="6" t="s">
        <v>220</v>
      </c>
      <c r="J34" s="6"/>
      <c r="K34" s="6"/>
      <c r="L34" s="6"/>
    </row>
    <row r="35" spans="1:12" ht="15.75" customHeight="1" x14ac:dyDescent="0.25">
      <c r="A35" s="1" t="s">
        <v>260</v>
      </c>
      <c r="B35" s="6" t="s">
        <v>258</v>
      </c>
      <c r="C35" s="6" t="s">
        <v>261</v>
      </c>
      <c r="D35" s="6">
        <v>100</v>
      </c>
      <c r="E35" s="6">
        <v>100</v>
      </c>
      <c r="F35" s="6">
        <v>15</v>
      </c>
      <c r="G35" s="6">
        <v>20</v>
      </c>
      <c r="H35" s="6">
        <v>4</v>
      </c>
      <c r="I35" s="6" t="s">
        <v>220</v>
      </c>
      <c r="J35" s="6"/>
      <c r="K35" s="6"/>
      <c r="L35" s="6"/>
    </row>
    <row r="36" spans="1:12" ht="15.75" customHeight="1" x14ac:dyDescent="0.25">
      <c r="A36" s="1" t="s">
        <v>262</v>
      </c>
      <c r="B36" s="6" t="s">
        <v>258</v>
      </c>
      <c r="C36" s="6" t="s">
        <v>263</v>
      </c>
      <c r="D36" s="6">
        <v>100</v>
      </c>
      <c r="E36" s="6">
        <v>100</v>
      </c>
      <c r="F36" s="6">
        <v>15</v>
      </c>
      <c r="G36" s="6">
        <v>20</v>
      </c>
      <c r="H36" s="6">
        <v>4</v>
      </c>
      <c r="I36" s="6" t="s">
        <v>220</v>
      </c>
      <c r="J36" s="6"/>
      <c r="K36" s="6"/>
      <c r="L36" s="6"/>
    </row>
    <row r="37" spans="1:12" ht="15.75" customHeight="1" x14ac:dyDescent="0.25">
      <c r="A37" s="1" t="s">
        <v>264</v>
      </c>
      <c r="B37" s="6" t="s">
        <v>258</v>
      </c>
      <c r="C37" s="6" t="s">
        <v>265</v>
      </c>
      <c r="D37" s="6">
        <v>100</v>
      </c>
      <c r="E37" s="6">
        <v>100</v>
      </c>
      <c r="F37" s="6">
        <v>15</v>
      </c>
      <c r="G37" s="6">
        <v>20</v>
      </c>
      <c r="H37" s="6">
        <v>4</v>
      </c>
      <c r="I37" s="6" t="s">
        <v>220</v>
      </c>
      <c r="J37" s="6"/>
      <c r="K37" s="6"/>
      <c r="L37" s="6"/>
    </row>
    <row r="38" spans="1:12" ht="15.75" customHeight="1" x14ac:dyDescent="0.25">
      <c r="A38" s="1" t="s">
        <v>266</v>
      </c>
      <c r="B38" s="6" t="s">
        <v>258</v>
      </c>
      <c r="C38" s="6" t="s">
        <v>267</v>
      </c>
      <c r="D38" s="6">
        <v>100</v>
      </c>
      <c r="E38" s="6">
        <v>100</v>
      </c>
      <c r="F38" s="6">
        <v>15</v>
      </c>
      <c r="G38" s="6">
        <v>20</v>
      </c>
      <c r="H38" s="6">
        <v>4</v>
      </c>
      <c r="I38" s="6" t="s">
        <v>220</v>
      </c>
      <c r="J38" s="6"/>
      <c r="K38" s="6"/>
      <c r="L38" s="6"/>
    </row>
    <row r="39" spans="1:12" ht="15.75" customHeight="1" x14ac:dyDescent="0.25">
      <c r="A39" s="1" t="s">
        <v>268</v>
      </c>
      <c r="B39" s="6" t="s">
        <v>258</v>
      </c>
      <c r="C39" s="6" t="s">
        <v>269</v>
      </c>
      <c r="D39" s="6">
        <v>100</v>
      </c>
      <c r="E39" s="6">
        <v>100</v>
      </c>
      <c r="F39" s="6">
        <v>15</v>
      </c>
      <c r="G39" s="6">
        <v>20</v>
      </c>
      <c r="H39" s="6">
        <v>4</v>
      </c>
      <c r="I39" s="6" t="s">
        <v>220</v>
      </c>
      <c r="J39" s="6"/>
      <c r="K39" s="6"/>
      <c r="L39" s="6"/>
    </row>
    <row r="40" spans="1:12" ht="15.75" customHeight="1" x14ac:dyDescent="0.25">
      <c r="A40" s="1" t="s">
        <v>270</v>
      </c>
      <c r="B40" s="6" t="s">
        <v>258</v>
      </c>
      <c r="C40" s="6" t="s">
        <v>271</v>
      </c>
      <c r="D40" s="6">
        <v>100</v>
      </c>
      <c r="E40" s="6">
        <v>100</v>
      </c>
      <c r="F40" s="6">
        <v>15</v>
      </c>
      <c r="G40" s="6">
        <v>20</v>
      </c>
      <c r="H40" s="6">
        <v>4</v>
      </c>
      <c r="I40" s="6" t="s">
        <v>220</v>
      </c>
      <c r="J40" s="6"/>
      <c r="K40" s="6"/>
      <c r="L40" s="6"/>
    </row>
    <row r="41" spans="1:12" ht="15.75" customHeight="1" x14ac:dyDescent="0.25">
      <c r="A41" s="1" t="s">
        <v>272</v>
      </c>
      <c r="B41" s="6" t="s">
        <v>258</v>
      </c>
      <c r="C41" s="6" t="s">
        <v>273</v>
      </c>
      <c r="D41" s="6">
        <v>100</v>
      </c>
      <c r="E41" s="6">
        <v>100</v>
      </c>
      <c r="F41" s="6">
        <v>15</v>
      </c>
      <c r="G41" s="6">
        <v>20</v>
      </c>
      <c r="H41" s="6">
        <v>4</v>
      </c>
      <c r="I41" s="6" t="s">
        <v>220</v>
      </c>
      <c r="J41" s="6"/>
      <c r="K41" s="6"/>
      <c r="L41" s="6"/>
    </row>
    <row r="42" spans="1:12" ht="15.75" customHeight="1" x14ac:dyDescent="0.25">
      <c r="A42" s="1" t="s">
        <v>274</v>
      </c>
      <c r="B42" s="6" t="s">
        <v>258</v>
      </c>
      <c r="C42" s="6" t="s">
        <v>275</v>
      </c>
      <c r="D42" s="6">
        <v>100</v>
      </c>
      <c r="E42" s="6">
        <v>100</v>
      </c>
      <c r="F42" s="6">
        <v>15</v>
      </c>
      <c r="G42" s="6">
        <v>20</v>
      </c>
      <c r="H42" s="6">
        <v>4</v>
      </c>
      <c r="I42" s="6" t="s">
        <v>220</v>
      </c>
      <c r="J42" s="6"/>
      <c r="K42" s="6"/>
      <c r="L42" s="6"/>
    </row>
    <row r="43" spans="1:12" ht="15.75" customHeight="1" x14ac:dyDescent="0.25">
      <c r="A43" s="1" t="s">
        <v>276</v>
      </c>
      <c r="B43" s="6" t="s">
        <v>258</v>
      </c>
      <c r="C43" s="6" t="s">
        <v>275</v>
      </c>
      <c r="D43" s="6">
        <v>100</v>
      </c>
      <c r="E43" s="6">
        <v>100</v>
      </c>
      <c r="F43" s="6">
        <v>15</v>
      </c>
      <c r="G43" s="6">
        <v>20</v>
      </c>
      <c r="H43" s="6">
        <v>4</v>
      </c>
      <c r="I43" s="6" t="s">
        <v>220</v>
      </c>
      <c r="J43" s="6"/>
      <c r="K43" s="6"/>
      <c r="L43" s="6"/>
    </row>
    <row r="44" spans="1:12" ht="15.75" customHeight="1" x14ac:dyDescent="0.25">
      <c r="A44" s="16" t="s">
        <v>277</v>
      </c>
      <c r="B44" s="17">
        <f>COUNTA(A4:A43)</f>
        <v>40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L1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pane ySplit="3" topLeftCell="A8" activePane="bottomLeft" state="frozen"/>
      <selection pane="bottomLeft" activeCell="C8" sqref="C8:C24"/>
    </sheetView>
  </sheetViews>
  <sheetFormatPr defaultColWidth="14.42578125" defaultRowHeight="15" customHeight="1" x14ac:dyDescent="0.25"/>
  <cols>
    <col min="1" max="1" width="6" customWidth="1"/>
    <col min="2" max="2" width="24" customWidth="1"/>
    <col min="3" max="3" width="60" customWidth="1"/>
    <col min="4" max="4" width="24" customWidth="1"/>
    <col min="5" max="5" width="40" customWidth="1"/>
    <col min="6" max="6" width="16" customWidth="1"/>
    <col min="7" max="26" width="8.7109375" customWidth="1"/>
  </cols>
  <sheetData>
    <row r="1" spans="1:6" ht="25.5" customHeight="1" x14ac:dyDescent="0.25">
      <c r="A1" s="59" t="s">
        <v>278</v>
      </c>
      <c r="B1" s="60"/>
      <c r="C1" s="60"/>
      <c r="D1" s="60"/>
      <c r="E1" s="60"/>
      <c r="F1" s="60"/>
    </row>
    <row r="3" spans="1:6" x14ac:dyDescent="0.25">
      <c r="A3" s="7" t="s">
        <v>279</v>
      </c>
      <c r="B3" s="7" t="s">
        <v>280</v>
      </c>
      <c r="C3" s="7" t="s">
        <v>281</v>
      </c>
      <c r="D3" s="7" t="s">
        <v>282</v>
      </c>
      <c r="E3" s="7" t="s">
        <v>283</v>
      </c>
      <c r="F3" s="7" t="s">
        <v>284</v>
      </c>
    </row>
    <row r="4" spans="1:6" ht="54.75" customHeight="1" x14ac:dyDescent="0.25">
      <c r="A4" s="1" t="s">
        <v>285</v>
      </c>
      <c r="B4" s="6" t="s">
        <v>286</v>
      </c>
      <c r="C4" s="6" t="s">
        <v>287</v>
      </c>
      <c r="D4" s="6" t="s">
        <v>288</v>
      </c>
      <c r="E4" s="6" t="s">
        <v>289</v>
      </c>
      <c r="F4" s="6" t="s">
        <v>290</v>
      </c>
    </row>
    <row r="5" spans="1:6" ht="54.75" customHeight="1" x14ac:dyDescent="0.25">
      <c r="A5" s="1" t="s">
        <v>291</v>
      </c>
      <c r="B5" s="6" t="s">
        <v>292</v>
      </c>
      <c r="C5" s="6" t="s">
        <v>293</v>
      </c>
      <c r="D5" s="6" t="s">
        <v>294</v>
      </c>
      <c r="E5" s="6" t="s">
        <v>295</v>
      </c>
      <c r="F5" s="6" t="s">
        <v>290</v>
      </c>
    </row>
    <row r="6" spans="1:6" ht="54.75" customHeight="1" x14ac:dyDescent="0.25">
      <c r="A6" s="1" t="s">
        <v>296</v>
      </c>
      <c r="B6" s="6" t="s">
        <v>297</v>
      </c>
      <c r="C6" s="6" t="s">
        <v>298</v>
      </c>
      <c r="D6" s="6" t="s">
        <v>299</v>
      </c>
      <c r="E6" s="6" t="s">
        <v>300</v>
      </c>
      <c r="F6" s="6" t="s">
        <v>290</v>
      </c>
    </row>
    <row r="7" spans="1:6" ht="54.75" customHeight="1" x14ac:dyDescent="0.25">
      <c r="A7" s="1" t="s">
        <v>301</v>
      </c>
      <c r="B7" s="6" t="s">
        <v>302</v>
      </c>
      <c r="C7" s="6" t="s">
        <v>303</v>
      </c>
      <c r="D7" s="6" t="s">
        <v>304</v>
      </c>
      <c r="E7" s="6" t="s">
        <v>305</v>
      </c>
      <c r="F7" s="6" t="s">
        <v>290</v>
      </c>
    </row>
    <row r="8" spans="1:6" ht="54.75" customHeight="1" x14ac:dyDescent="0.25">
      <c r="A8" s="1" t="s">
        <v>306</v>
      </c>
      <c r="B8" s="6" t="s">
        <v>307</v>
      </c>
      <c r="C8" s="6" t="s">
        <v>308</v>
      </c>
      <c r="D8" s="6" t="s">
        <v>309</v>
      </c>
      <c r="E8" s="6" t="s">
        <v>310</v>
      </c>
      <c r="F8" s="6" t="s">
        <v>290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5" customWidth="1"/>
    <col min="2" max="2" width="44" customWidth="1"/>
    <col min="3" max="3" width="12" customWidth="1"/>
    <col min="4" max="4" width="14" customWidth="1"/>
    <col min="5" max="6" width="48" customWidth="1"/>
    <col min="7" max="7" width="12" customWidth="1"/>
    <col min="8" max="26" width="8.7109375" customWidth="1"/>
  </cols>
  <sheetData>
    <row r="1" spans="1:7" ht="25.5" customHeight="1" x14ac:dyDescent="0.25">
      <c r="A1" s="59" t="s">
        <v>311</v>
      </c>
      <c r="B1" s="60"/>
      <c r="C1" s="60"/>
      <c r="D1" s="60"/>
      <c r="E1" s="60"/>
      <c r="F1" s="60"/>
      <c r="G1" s="60"/>
    </row>
    <row r="3" spans="1:7" x14ac:dyDescent="0.25">
      <c r="A3" s="7" t="s">
        <v>312</v>
      </c>
      <c r="B3" s="7" t="s">
        <v>313</v>
      </c>
      <c r="C3" s="7" t="s">
        <v>314</v>
      </c>
      <c r="D3" s="7" t="s">
        <v>315</v>
      </c>
      <c r="E3" s="7" t="s">
        <v>316</v>
      </c>
      <c r="F3" s="7" t="s">
        <v>317</v>
      </c>
      <c r="G3" s="7" t="s">
        <v>41</v>
      </c>
    </row>
    <row r="4" spans="1:7" ht="42" customHeight="1" x14ac:dyDescent="0.25">
      <c r="A4" s="1" t="s">
        <v>318</v>
      </c>
      <c r="B4" s="6" t="s">
        <v>319</v>
      </c>
      <c r="C4" s="6" t="s">
        <v>320</v>
      </c>
      <c r="D4" s="6" t="s">
        <v>321</v>
      </c>
      <c r="E4" s="6" t="s">
        <v>322</v>
      </c>
      <c r="F4" s="6" t="s">
        <v>323</v>
      </c>
      <c r="G4" s="6" t="s">
        <v>324</v>
      </c>
    </row>
    <row r="5" spans="1:7" ht="42" customHeight="1" x14ac:dyDescent="0.25">
      <c r="A5" s="1" t="s">
        <v>325</v>
      </c>
      <c r="B5" s="6" t="s">
        <v>326</v>
      </c>
      <c r="C5" s="6" t="s">
        <v>320</v>
      </c>
      <c r="D5" s="6" t="s">
        <v>321</v>
      </c>
      <c r="E5" s="6" t="s">
        <v>327</v>
      </c>
      <c r="F5" s="6" t="s">
        <v>328</v>
      </c>
      <c r="G5" s="6" t="s">
        <v>324</v>
      </c>
    </row>
    <row r="6" spans="1:7" ht="42" customHeight="1" x14ac:dyDescent="0.25">
      <c r="A6" s="1" t="s">
        <v>329</v>
      </c>
      <c r="B6" s="6" t="s">
        <v>330</v>
      </c>
      <c r="C6" s="6" t="s">
        <v>320</v>
      </c>
      <c r="D6" s="6" t="s">
        <v>331</v>
      </c>
      <c r="E6" s="6" t="s">
        <v>332</v>
      </c>
      <c r="F6" s="6" t="s">
        <v>333</v>
      </c>
      <c r="G6" s="6" t="s">
        <v>324</v>
      </c>
    </row>
    <row r="7" spans="1:7" ht="42" customHeight="1" x14ac:dyDescent="0.25">
      <c r="A7" s="1" t="s">
        <v>334</v>
      </c>
      <c r="B7" s="6" t="s">
        <v>335</v>
      </c>
      <c r="C7" s="6" t="s">
        <v>336</v>
      </c>
      <c r="D7" s="6" t="s">
        <v>320</v>
      </c>
      <c r="E7" s="6" t="s">
        <v>337</v>
      </c>
      <c r="F7" s="6" t="s">
        <v>338</v>
      </c>
      <c r="G7" s="6" t="s">
        <v>324</v>
      </c>
    </row>
    <row r="8" spans="1:7" ht="42" customHeight="1" x14ac:dyDescent="0.25">
      <c r="A8" s="1" t="s">
        <v>339</v>
      </c>
      <c r="B8" s="6" t="s">
        <v>340</v>
      </c>
      <c r="C8" s="6" t="s">
        <v>321</v>
      </c>
      <c r="D8" s="6" t="s">
        <v>320</v>
      </c>
      <c r="E8" s="6" t="s">
        <v>341</v>
      </c>
      <c r="F8" s="6" t="s">
        <v>342</v>
      </c>
      <c r="G8" s="6" t="s">
        <v>324</v>
      </c>
    </row>
    <row r="9" spans="1:7" ht="42" customHeight="1" x14ac:dyDescent="0.25">
      <c r="A9" s="1" t="s">
        <v>343</v>
      </c>
      <c r="B9" s="6" t="s">
        <v>344</v>
      </c>
      <c r="C9" s="6" t="s">
        <v>320</v>
      </c>
      <c r="D9" s="6" t="s">
        <v>320</v>
      </c>
      <c r="E9" s="6" t="s">
        <v>345</v>
      </c>
      <c r="F9" s="6" t="s">
        <v>346</v>
      </c>
      <c r="G9" s="6" t="s">
        <v>324</v>
      </c>
    </row>
    <row r="10" spans="1:7" ht="42" customHeight="1" x14ac:dyDescent="0.25">
      <c r="A10" s="1" t="s">
        <v>347</v>
      </c>
      <c r="B10" s="6" t="s">
        <v>348</v>
      </c>
      <c r="C10" s="6" t="s">
        <v>336</v>
      </c>
      <c r="D10" s="6" t="s">
        <v>349</v>
      </c>
      <c r="E10" s="6" t="s">
        <v>86</v>
      </c>
      <c r="F10" s="6" t="s">
        <v>350</v>
      </c>
      <c r="G10" s="6" t="s">
        <v>324</v>
      </c>
    </row>
    <row r="11" spans="1:7" ht="42" customHeight="1" x14ac:dyDescent="0.25">
      <c r="A11" s="1" t="s">
        <v>351</v>
      </c>
      <c r="B11" s="6" t="s">
        <v>352</v>
      </c>
      <c r="C11" s="6" t="s">
        <v>320</v>
      </c>
      <c r="D11" s="6" t="s">
        <v>320</v>
      </c>
      <c r="E11" s="6" t="s">
        <v>353</v>
      </c>
      <c r="F11" s="6" t="s">
        <v>354</v>
      </c>
      <c r="G11" s="6" t="s">
        <v>324</v>
      </c>
    </row>
    <row r="12" spans="1:7" ht="42" customHeight="1" x14ac:dyDescent="0.25">
      <c r="A12" s="1" t="s">
        <v>355</v>
      </c>
      <c r="B12" s="6" t="s">
        <v>356</v>
      </c>
      <c r="C12" s="6" t="s">
        <v>336</v>
      </c>
      <c r="D12" s="6" t="s">
        <v>321</v>
      </c>
      <c r="E12" s="6" t="s">
        <v>357</v>
      </c>
      <c r="F12" s="6" t="s">
        <v>358</v>
      </c>
      <c r="G12" s="6" t="s">
        <v>324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pane ySplit="3" topLeftCell="A19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8" customWidth="1"/>
    <col min="2" max="2" width="70" customWidth="1"/>
    <col min="3" max="3" width="28" customWidth="1"/>
    <col min="4" max="4" width="18" customWidth="1"/>
    <col min="5" max="5" width="14" customWidth="1"/>
    <col min="6" max="26" width="8.7109375" customWidth="1"/>
  </cols>
  <sheetData>
    <row r="1" spans="1:5" ht="25.5" customHeight="1" x14ac:dyDescent="0.25">
      <c r="A1" s="59" t="s">
        <v>359</v>
      </c>
      <c r="B1" s="60"/>
      <c r="C1" s="60"/>
      <c r="D1" s="60"/>
      <c r="E1" s="60"/>
    </row>
    <row r="3" spans="1:5" x14ac:dyDescent="0.25">
      <c r="A3" s="7" t="s">
        <v>360</v>
      </c>
      <c r="B3" s="7" t="s">
        <v>361</v>
      </c>
      <c r="C3" s="7" t="s">
        <v>362</v>
      </c>
      <c r="D3" s="7" t="s">
        <v>363</v>
      </c>
      <c r="E3" s="7" t="s">
        <v>41</v>
      </c>
    </row>
    <row r="4" spans="1:5" x14ac:dyDescent="0.25">
      <c r="A4" s="1" t="s">
        <v>42</v>
      </c>
      <c r="B4" s="6" t="s">
        <v>364</v>
      </c>
      <c r="C4" s="6" t="s">
        <v>365</v>
      </c>
      <c r="D4" s="6" t="s">
        <v>366</v>
      </c>
      <c r="E4" s="6" t="s">
        <v>158</v>
      </c>
    </row>
    <row r="5" spans="1:5" x14ac:dyDescent="0.25">
      <c r="A5" s="1" t="s">
        <v>42</v>
      </c>
      <c r="B5" s="6" t="s">
        <v>367</v>
      </c>
      <c r="C5" s="6" t="s">
        <v>368</v>
      </c>
      <c r="D5" s="6" t="s">
        <v>369</v>
      </c>
      <c r="E5" s="6" t="s">
        <v>158</v>
      </c>
    </row>
    <row r="6" spans="1:5" x14ac:dyDescent="0.25">
      <c r="A6" s="1" t="s">
        <v>42</v>
      </c>
      <c r="B6" s="6" t="s">
        <v>370</v>
      </c>
      <c r="C6" s="6" t="s">
        <v>371</v>
      </c>
      <c r="D6" s="6" t="s">
        <v>372</v>
      </c>
      <c r="E6" s="6" t="s">
        <v>158</v>
      </c>
    </row>
    <row r="7" spans="1:5" x14ac:dyDescent="0.25">
      <c r="A7" s="1" t="s">
        <v>42</v>
      </c>
      <c r="B7" s="6" t="s">
        <v>373</v>
      </c>
      <c r="C7" s="6" t="s">
        <v>374</v>
      </c>
      <c r="D7" s="6" t="s">
        <v>375</v>
      </c>
      <c r="E7" s="6" t="s">
        <v>158</v>
      </c>
    </row>
    <row r="8" spans="1:5" x14ac:dyDescent="0.25">
      <c r="A8" s="1" t="s">
        <v>42</v>
      </c>
      <c r="B8" s="6" t="s">
        <v>376</v>
      </c>
      <c r="C8" s="6" t="s">
        <v>377</v>
      </c>
      <c r="D8" s="6" t="s">
        <v>378</v>
      </c>
      <c r="E8" s="6" t="s">
        <v>158</v>
      </c>
    </row>
    <row r="9" spans="1:5" x14ac:dyDescent="0.25">
      <c r="A9" s="1" t="s">
        <v>49</v>
      </c>
      <c r="B9" s="6" t="s">
        <v>379</v>
      </c>
      <c r="C9" s="6" t="s">
        <v>380</v>
      </c>
      <c r="D9" s="6" t="s">
        <v>381</v>
      </c>
      <c r="E9" s="6" t="s">
        <v>158</v>
      </c>
    </row>
    <row r="10" spans="1:5" x14ac:dyDescent="0.25">
      <c r="A10" s="1" t="s">
        <v>49</v>
      </c>
      <c r="B10" s="6" t="s">
        <v>382</v>
      </c>
      <c r="C10" s="6" t="s">
        <v>383</v>
      </c>
      <c r="D10" s="6" t="s">
        <v>384</v>
      </c>
      <c r="E10" s="6" t="s">
        <v>158</v>
      </c>
    </row>
    <row r="11" spans="1:5" x14ac:dyDescent="0.25">
      <c r="A11" s="1" t="s">
        <v>49</v>
      </c>
      <c r="B11" s="6" t="s">
        <v>385</v>
      </c>
      <c r="C11" s="6" t="s">
        <v>386</v>
      </c>
      <c r="D11" s="6" t="s">
        <v>387</v>
      </c>
      <c r="E11" s="6" t="s">
        <v>158</v>
      </c>
    </row>
    <row r="12" spans="1:5" x14ac:dyDescent="0.25">
      <c r="A12" s="1" t="s">
        <v>49</v>
      </c>
      <c r="B12" s="6" t="s">
        <v>388</v>
      </c>
      <c r="C12" s="6" t="s">
        <v>389</v>
      </c>
      <c r="D12" s="6" t="s">
        <v>390</v>
      </c>
      <c r="E12" s="6" t="s">
        <v>158</v>
      </c>
    </row>
    <row r="13" spans="1:5" x14ac:dyDescent="0.25">
      <c r="A13" s="1" t="s">
        <v>49</v>
      </c>
      <c r="B13" s="6" t="s">
        <v>391</v>
      </c>
      <c r="C13" s="6" t="s">
        <v>392</v>
      </c>
      <c r="D13" s="6" t="s">
        <v>393</v>
      </c>
      <c r="E13" s="6" t="s">
        <v>158</v>
      </c>
    </row>
    <row r="14" spans="1:5" x14ac:dyDescent="0.25">
      <c r="A14" s="1" t="s">
        <v>49</v>
      </c>
      <c r="B14" s="6" t="s">
        <v>394</v>
      </c>
      <c r="C14" s="6" t="s">
        <v>395</v>
      </c>
      <c r="D14" s="6" t="s">
        <v>396</v>
      </c>
      <c r="E14" s="6" t="s">
        <v>158</v>
      </c>
    </row>
    <row r="15" spans="1:5" x14ac:dyDescent="0.25">
      <c r="A15" s="1" t="s">
        <v>55</v>
      </c>
      <c r="B15" s="6" t="s">
        <v>397</v>
      </c>
      <c r="C15" s="6" t="s">
        <v>398</v>
      </c>
      <c r="D15" s="6" t="s">
        <v>399</v>
      </c>
      <c r="E15" s="6" t="s">
        <v>400</v>
      </c>
    </row>
    <row r="16" spans="1:5" x14ac:dyDescent="0.25">
      <c r="A16" s="1" t="s">
        <v>55</v>
      </c>
      <c r="B16" s="6" t="s">
        <v>401</v>
      </c>
      <c r="C16" s="6" t="s">
        <v>402</v>
      </c>
      <c r="D16" s="6" t="s">
        <v>399</v>
      </c>
      <c r="E16" s="6" t="s">
        <v>400</v>
      </c>
    </row>
    <row r="17" spans="1:5" x14ac:dyDescent="0.25">
      <c r="A17" s="1" t="s">
        <v>55</v>
      </c>
      <c r="B17" s="6" t="s">
        <v>403</v>
      </c>
      <c r="C17" s="6" t="s">
        <v>404</v>
      </c>
      <c r="D17" s="6" t="s">
        <v>405</v>
      </c>
      <c r="E17" s="6" t="s">
        <v>400</v>
      </c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4" customWidth="1"/>
    <col min="2" max="2" width="28" customWidth="1"/>
    <col min="3" max="3" width="40" customWidth="1"/>
    <col min="4" max="5" width="34" customWidth="1"/>
    <col min="6" max="6" width="20" customWidth="1"/>
    <col min="7" max="26" width="8.7109375" customWidth="1"/>
  </cols>
  <sheetData>
    <row r="1" spans="1:6" ht="25.5" customHeight="1" x14ac:dyDescent="0.25">
      <c r="A1" s="59" t="s">
        <v>406</v>
      </c>
      <c r="B1" s="60"/>
      <c r="C1" s="60"/>
      <c r="D1" s="60"/>
      <c r="E1" s="60"/>
      <c r="F1" s="60"/>
    </row>
    <row r="3" spans="1:6" x14ac:dyDescent="0.25">
      <c r="A3" s="7" t="s">
        <v>407</v>
      </c>
      <c r="B3" s="7" t="s">
        <v>408</v>
      </c>
      <c r="C3" s="7" t="s">
        <v>409</v>
      </c>
      <c r="D3" s="7" t="s">
        <v>410</v>
      </c>
      <c r="E3" s="7" t="s">
        <v>411</v>
      </c>
      <c r="F3" s="7" t="s">
        <v>412</v>
      </c>
    </row>
    <row r="4" spans="1:6" ht="45" customHeight="1" x14ac:dyDescent="0.25">
      <c r="A4" s="18">
        <v>46134</v>
      </c>
      <c r="B4" s="6" t="s">
        <v>413</v>
      </c>
      <c r="C4" s="6" t="s">
        <v>414</v>
      </c>
      <c r="D4" s="6"/>
      <c r="E4" s="6" t="s">
        <v>415</v>
      </c>
      <c r="F4" s="6" t="s">
        <v>416</v>
      </c>
    </row>
    <row r="5" spans="1:6" ht="45" customHeight="1" x14ac:dyDescent="0.25">
      <c r="A5" s="18"/>
      <c r="B5" s="6"/>
      <c r="C5" s="6"/>
      <c r="D5" s="6"/>
      <c r="E5" s="6"/>
      <c r="F5" s="6"/>
    </row>
    <row r="6" spans="1:6" ht="45" customHeight="1" x14ac:dyDescent="0.25">
      <c r="A6" s="18"/>
      <c r="B6" s="6"/>
      <c r="C6" s="6"/>
      <c r="D6" s="6"/>
      <c r="E6" s="6"/>
      <c r="F6" s="6"/>
    </row>
    <row r="7" spans="1:6" ht="45" customHeight="1" x14ac:dyDescent="0.25">
      <c r="A7" s="18"/>
      <c r="B7" s="6"/>
      <c r="C7" s="6"/>
      <c r="D7" s="6"/>
      <c r="E7" s="6"/>
      <c r="F7" s="6"/>
    </row>
    <row r="8" spans="1:6" ht="45" customHeight="1" x14ac:dyDescent="0.25">
      <c r="A8" s="18"/>
      <c r="B8" s="6"/>
      <c r="C8" s="6"/>
      <c r="D8" s="6"/>
      <c r="E8" s="6"/>
      <c r="F8" s="6"/>
    </row>
    <row r="9" spans="1:6" ht="45" customHeight="1" x14ac:dyDescent="0.25">
      <c r="A9" s="18"/>
      <c r="B9" s="6"/>
      <c r="C9" s="6"/>
      <c r="D9" s="6"/>
      <c r="E9" s="6"/>
      <c r="F9" s="6"/>
    </row>
    <row r="10" spans="1:6" ht="45" customHeight="1" x14ac:dyDescent="0.25">
      <c r="A10" s="18"/>
      <c r="B10" s="6"/>
      <c r="C10" s="6"/>
      <c r="D10" s="6"/>
      <c r="E10" s="6"/>
      <c r="F10" s="6"/>
    </row>
    <row r="11" spans="1:6" ht="45" customHeight="1" x14ac:dyDescent="0.25">
      <c r="A11" s="18"/>
      <c r="B11" s="6"/>
      <c r="C11" s="6"/>
      <c r="D11" s="6"/>
      <c r="E11" s="6"/>
      <c r="F11" s="6"/>
    </row>
    <row r="12" spans="1:6" ht="45" customHeight="1" x14ac:dyDescent="0.25">
      <c r="A12" s="18"/>
      <c r="B12" s="6"/>
      <c r="C12" s="6"/>
      <c r="D12" s="6"/>
      <c r="E12" s="6"/>
      <c r="F12" s="6"/>
    </row>
    <row r="13" spans="1:6" ht="45" customHeight="1" x14ac:dyDescent="0.25">
      <c r="A13" s="18"/>
      <c r="B13" s="6"/>
      <c r="C13" s="6"/>
      <c r="D13" s="6"/>
      <c r="E13" s="6"/>
      <c r="F13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6D44-8E28-4315-A7B0-D541FCB685D9}">
  <dimension ref="A1:U18"/>
  <sheetViews>
    <sheetView workbookViewId="0">
      <selection activeCell="D14" sqref="D14"/>
    </sheetView>
  </sheetViews>
  <sheetFormatPr defaultRowHeight="15" x14ac:dyDescent="0.25"/>
  <cols>
    <col min="1" max="1" width="17.85546875" customWidth="1"/>
    <col min="2" max="2" width="26.5703125" customWidth="1"/>
  </cols>
  <sheetData>
    <row r="1" spans="1:21" x14ac:dyDescent="0.25">
      <c r="A1" s="66" t="s">
        <v>36</v>
      </c>
      <c r="B1" s="68" t="s">
        <v>417</v>
      </c>
      <c r="C1" s="71" t="s">
        <v>418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3"/>
      <c r="U1" s="34"/>
    </row>
    <row r="2" spans="1:21" x14ac:dyDescent="0.25">
      <c r="A2" s="66"/>
      <c r="B2" s="69"/>
      <c r="C2" s="74" t="s">
        <v>419</v>
      </c>
      <c r="D2" s="75"/>
      <c r="E2" s="74" t="s">
        <v>420</v>
      </c>
      <c r="F2" s="76"/>
      <c r="G2" s="76"/>
      <c r="H2" s="75"/>
      <c r="I2" s="74" t="s">
        <v>421</v>
      </c>
      <c r="J2" s="76"/>
      <c r="K2" s="76"/>
      <c r="L2" s="75"/>
      <c r="M2" s="74" t="s">
        <v>422</v>
      </c>
      <c r="N2" s="76"/>
      <c r="O2" s="76"/>
      <c r="P2" s="75"/>
      <c r="Q2" s="74" t="s">
        <v>423</v>
      </c>
      <c r="R2" s="76"/>
      <c r="S2" s="76"/>
      <c r="T2" s="75"/>
    </row>
    <row r="3" spans="1:21" ht="26.25" x14ac:dyDescent="0.25">
      <c r="A3" s="67"/>
      <c r="B3" s="70"/>
      <c r="C3" s="19" t="s">
        <v>424</v>
      </c>
      <c r="D3" s="20" t="s">
        <v>425</v>
      </c>
      <c r="E3" s="20" t="s">
        <v>426</v>
      </c>
      <c r="F3" s="20" t="s">
        <v>427</v>
      </c>
      <c r="G3" s="20" t="s">
        <v>428</v>
      </c>
      <c r="H3" s="20" t="s">
        <v>429</v>
      </c>
      <c r="I3" s="20" t="s">
        <v>430</v>
      </c>
      <c r="J3" s="20" t="s">
        <v>431</v>
      </c>
      <c r="K3" s="20" t="s">
        <v>432</v>
      </c>
      <c r="L3" s="20" t="s">
        <v>433</v>
      </c>
      <c r="M3" s="20" t="s">
        <v>434</v>
      </c>
      <c r="N3" s="20" t="s">
        <v>435</v>
      </c>
      <c r="O3" s="20" t="s">
        <v>436</v>
      </c>
      <c r="P3" s="20" t="s">
        <v>437</v>
      </c>
      <c r="Q3" s="20" t="s">
        <v>438</v>
      </c>
      <c r="R3" s="20" t="s">
        <v>439</v>
      </c>
      <c r="S3" s="20" t="s">
        <v>440</v>
      </c>
      <c r="T3" s="20" t="s">
        <v>441</v>
      </c>
    </row>
    <row r="4" spans="1:21" x14ac:dyDescent="0.25">
      <c r="A4" s="63" t="s">
        <v>442</v>
      </c>
      <c r="B4" t="s">
        <v>443</v>
      </c>
      <c r="C4" s="31"/>
      <c r="D4" s="32"/>
    </row>
    <row r="5" spans="1:21" x14ac:dyDescent="0.25">
      <c r="A5" s="64"/>
      <c r="B5" t="s">
        <v>444</v>
      </c>
      <c r="D5" s="30"/>
      <c r="E5" t="s">
        <v>445</v>
      </c>
    </row>
    <row r="6" spans="1:21" x14ac:dyDescent="0.25">
      <c r="A6" s="64"/>
      <c r="B6" t="s">
        <v>446</v>
      </c>
      <c r="F6" s="30"/>
    </row>
    <row r="7" spans="1:21" x14ac:dyDescent="0.25">
      <c r="A7" s="64"/>
      <c r="B7" s="33" t="s">
        <v>447</v>
      </c>
      <c r="H7" s="30"/>
    </row>
    <row r="8" spans="1:21" x14ac:dyDescent="0.25">
      <c r="A8" s="64"/>
      <c r="B8" s="33" t="s">
        <v>448</v>
      </c>
      <c r="I8" s="30"/>
    </row>
    <row r="9" spans="1:21" x14ac:dyDescent="0.25">
      <c r="A9" s="64"/>
      <c r="B9" t="s">
        <v>449</v>
      </c>
      <c r="O9" s="30"/>
    </row>
    <row r="10" spans="1:21" x14ac:dyDescent="0.25">
      <c r="A10" s="64"/>
      <c r="B10" t="s">
        <v>450</v>
      </c>
      <c r="Q10" s="30"/>
    </row>
    <row r="11" spans="1:21" x14ac:dyDescent="0.25">
      <c r="A11" s="64"/>
      <c r="B11" s="33" t="s">
        <v>451</v>
      </c>
      <c r="S11" s="30"/>
    </row>
    <row r="12" spans="1:21" x14ac:dyDescent="0.25">
      <c r="A12" s="64"/>
      <c r="B12" s="33" t="s">
        <v>452</v>
      </c>
      <c r="T12" s="30"/>
    </row>
    <row r="13" spans="1:21" x14ac:dyDescent="0.25">
      <c r="A13" s="65" t="s">
        <v>44</v>
      </c>
      <c r="B13" s="33" t="s">
        <v>453</v>
      </c>
    </row>
    <row r="14" spans="1:21" x14ac:dyDescent="0.25">
      <c r="A14" s="65"/>
      <c r="B14" s="33" t="s">
        <v>454</v>
      </c>
    </row>
    <row r="15" spans="1:21" x14ac:dyDescent="0.25">
      <c r="A15" s="65"/>
      <c r="B15" s="33" t="s">
        <v>455</v>
      </c>
    </row>
    <row r="16" spans="1:21" x14ac:dyDescent="0.25">
      <c r="A16" s="65"/>
      <c r="B16" s="33" t="s">
        <v>456</v>
      </c>
    </row>
    <row r="17" spans="1:2" x14ac:dyDescent="0.25">
      <c r="A17" s="65"/>
      <c r="B17" s="33" t="s">
        <v>457</v>
      </c>
    </row>
    <row r="18" spans="1:2" x14ac:dyDescent="0.25">
      <c r="A18" s="65"/>
      <c r="B18" s="33" t="s">
        <v>458</v>
      </c>
    </row>
  </sheetData>
  <mergeCells count="10">
    <mergeCell ref="A4:A12"/>
    <mergeCell ref="A13:A18"/>
    <mergeCell ref="A1:A3"/>
    <mergeCell ref="B1:B3"/>
    <mergeCell ref="C1:T1"/>
    <mergeCell ref="C2:D2"/>
    <mergeCell ref="E2:H2"/>
    <mergeCell ref="I2:L2"/>
    <mergeCell ref="M2:P2"/>
    <mergeCell ref="Q2:T2"/>
  </mergeCells>
  <phoneticPr fontId="10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0CE5-B021-4901-95F1-132DF2B24216}">
  <dimension ref="A1:X29"/>
  <sheetViews>
    <sheetView tabSelected="1" workbookViewId="0">
      <selection activeCell="N9" sqref="N9:Q9"/>
    </sheetView>
  </sheetViews>
  <sheetFormatPr defaultRowHeight="15" x14ac:dyDescent="0.25"/>
  <sheetData>
    <row r="1" spans="1:24" ht="26.25" customHeight="1" thickBot="1" x14ac:dyDescent="0.3">
      <c r="A1" s="22"/>
      <c r="B1" s="41" t="s">
        <v>459</v>
      </c>
      <c r="C1" s="42"/>
      <c r="D1" s="42"/>
      <c r="E1" s="43"/>
      <c r="F1" s="23" t="s">
        <v>460</v>
      </c>
      <c r="G1" s="23" t="s">
        <v>461</v>
      </c>
      <c r="H1" s="23" t="s">
        <v>462</v>
      </c>
      <c r="I1" s="41" t="s">
        <v>463</v>
      </c>
      <c r="J1" s="42"/>
      <c r="K1" s="42"/>
      <c r="L1" s="43"/>
      <c r="M1" s="77"/>
      <c r="N1" s="41" t="s">
        <v>459</v>
      </c>
      <c r="O1" s="42"/>
      <c r="P1" s="42"/>
      <c r="Q1" s="43"/>
      <c r="R1" s="23" t="s">
        <v>460</v>
      </c>
      <c r="S1" s="23" t="s">
        <v>461</v>
      </c>
      <c r="T1" s="23" t="s">
        <v>462</v>
      </c>
      <c r="U1" s="41" t="s">
        <v>463</v>
      </c>
      <c r="V1" s="42"/>
      <c r="W1" s="42"/>
      <c r="X1" s="43"/>
    </row>
    <row r="2" spans="1:24" ht="30.75" customHeight="1" thickBot="1" x14ac:dyDescent="0.3">
      <c r="A2" s="24" t="s">
        <v>464</v>
      </c>
      <c r="B2" s="47" t="s">
        <v>465</v>
      </c>
      <c r="C2" s="48"/>
      <c r="D2" s="48"/>
      <c r="E2" s="49"/>
      <c r="F2" s="25" t="s">
        <v>466</v>
      </c>
      <c r="G2" s="26"/>
      <c r="H2" s="26"/>
      <c r="I2" s="44"/>
      <c r="J2" s="45"/>
      <c r="K2" s="45"/>
      <c r="L2" s="46"/>
      <c r="M2" s="78"/>
      <c r="N2" s="81" t="s">
        <v>496</v>
      </c>
      <c r="O2" s="80"/>
      <c r="P2" s="80"/>
      <c r="Q2" s="80"/>
      <c r="R2" s="83" t="s">
        <v>466</v>
      </c>
      <c r="S2" s="82"/>
      <c r="T2" s="82"/>
      <c r="U2" s="80"/>
      <c r="V2" s="80"/>
      <c r="W2" s="80"/>
      <c r="X2" s="80"/>
    </row>
    <row r="3" spans="1:24" ht="30.75" customHeight="1" thickBot="1" x14ac:dyDescent="0.3">
      <c r="A3" s="27"/>
      <c r="B3" s="38" t="s">
        <v>467</v>
      </c>
      <c r="C3" s="39"/>
      <c r="D3" s="39"/>
      <c r="E3" s="40"/>
      <c r="F3" s="25" t="s">
        <v>466</v>
      </c>
      <c r="G3" s="26"/>
      <c r="H3" s="26"/>
      <c r="I3" s="35"/>
      <c r="J3" s="36"/>
      <c r="K3" s="36"/>
      <c r="L3" s="37"/>
      <c r="M3" s="78"/>
      <c r="N3" s="85" t="s">
        <v>497</v>
      </c>
      <c r="O3" s="79"/>
      <c r="P3" s="79"/>
      <c r="Q3" s="79"/>
      <c r="R3" s="86" t="s">
        <v>466</v>
      </c>
      <c r="S3" s="82"/>
      <c r="T3" s="82"/>
      <c r="U3" s="79"/>
      <c r="V3" s="79"/>
      <c r="W3" s="79"/>
      <c r="X3" s="79"/>
    </row>
    <row r="4" spans="1:24" ht="30.75" customHeight="1" thickBot="1" x14ac:dyDescent="0.3">
      <c r="A4" s="27"/>
      <c r="B4" s="38" t="s">
        <v>468</v>
      </c>
      <c r="C4" s="39"/>
      <c r="D4" s="39"/>
      <c r="E4" s="40"/>
      <c r="F4" s="25" t="s">
        <v>466</v>
      </c>
      <c r="G4" s="26"/>
      <c r="H4" s="26"/>
      <c r="I4" s="35"/>
      <c r="J4" s="36"/>
      <c r="K4" s="36"/>
      <c r="L4" s="37"/>
      <c r="M4" s="78"/>
      <c r="N4" s="85" t="s">
        <v>498</v>
      </c>
      <c r="O4" s="79"/>
      <c r="P4" s="79"/>
      <c r="Q4" s="79"/>
      <c r="R4" s="86" t="s">
        <v>466</v>
      </c>
      <c r="S4" s="82"/>
      <c r="T4" s="82"/>
      <c r="U4" s="79"/>
      <c r="V4" s="79"/>
      <c r="W4" s="79"/>
      <c r="X4" s="79"/>
    </row>
    <row r="5" spans="1:24" ht="30.75" customHeight="1" thickBot="1" x14ac:dyDescent="0.3">
      <c r="A5" s="27"/>
      <c r="B5" s="38" t="s">
        <v>469</v>
      </c>
      <c r="C5" s="39"/>
      <c r="D5" s="39"/>
      <c r="E5" s="40"/>
      <c r="F5" s="25" t="s">
        <v>466</v>
      </c>
      <c r="G5" s="26"/>
      <c r="H5" s="26"/>
      <c r="I5" s="35"/>
      <c r="J5" s="36"/>
      <c r="K5" s="36"/>
      <c r="L5" s="37"/>
      <c r="M5" s="78"/>
      <c r="N5" s="85" t="s">
        <v>499</v>
      </c>
      <c r="O5" s="79"/>
      <c r="P5" s="79"/>
      <c r="Q5" s="79"/>
      <c r="R5" s="86" t="s">
        <v>466</v>
      </c>
      <c r="S5" s="82"/>
      <c r="T5" s="82"/>
      <c r="U5" s="79"/>
      <c r="V5" s="79"/>
      <c r="W5" s="79"/>
      <c r="X5" s="79"/>
    </row>
    <row r="6" spans="1:24" ht="30.75" customHeight="1" thickBot="1" x14ac:dyDescent="0.3">
      <c r="A6" s="27"/>
      <c r="B6" s="38" t="s">
        <v>470</v>
      </c>
      <c r="C6" s="39"/>
      <c r="D6" s="39"/>
      <c r="E6" s="40"/>
      <c r="F6" s="25" t="s">
        <v>466</v>
      </c>
      <c r="G6" s="26"/>
      <c r="H6" s="26"/>
      <c r="I6" s="35"/>
      <c r="J6" s="36"/>
      <c r="K6" s="36"/>
      <c r="L6" s="37"/>
      <c r="M6" s="78"/>
      <c r="N6" s="87" t="s">
        <v>500</v>
      </c>
      <c r="O6" s="87"/>
      <c r="P6" s="87"/>
      <c r="Q6" s="87"/>
      <c r="R6" s="86" t="s">
        <v>466</v>
      </c>
      <c r="S6" s="82"/>
      <c r="T6" s="82"/>
      <c r="U6" s="79"/>
      <c r="V6" s="79"/>
      <c r="W6" s="79"/>
      <c r="X6" s="79"/>
    </row>
    <row r="7" spans="1:24" ht="30.75" customHeight="1" thickBot="1" x14ac:dyDescent="0.3">
      <c r="A7" s="27"/>
      <c r="B7" s="38" t="s">
        <v>471</v>
      </c>
      <c r="C7" s="39"/>
      <c r="D7" s="39"/>
      <c r="E7" s="40"/>
      <c r="F7" s="25" t="s">
        <v>466</v>
      </c>
      <c r="G7" s="26"/>
      <c r="H7" s="26"/>
      <c r="I7" s="35"/>
      <c r="J7" s="36"/>
      <c r="K7" s="36"/>
      <c r="L7" s="37"/>
      <c r="M7" s="78"/>
      <c r="N7" s="85" t="s">
        <v>501</v>
      </c>
      <c r="O7" s="79"/>
      <c r="P7" s="79"/>
      <c r="Q7" s="79"/>
      <c r="R7" s="86" t="s">
        <v>466</v>
      </c>
      <c r="S7" s="82"/>
      <c r="T7" s="82"/>
      <c r="U7" s="79"/>
      <c r="V7" s="79"/>
      <c r="W7" s="79"/>
      <c r="X7" s="79"/>
    </row>
    <row r="8" spans="1:24" ht="30.75" customHeight="1" thickBot="1" x14ac:dyDescent="0.3">
      <c r="A8" s="27"/>
      <c r="B8" s="38" t="s">
        <v>472</v>
      </c>
      <c r="C8" s="39"/>
      <c r="D8" s="39"/>
      <c r="E8" s="40"/>
      <c r="F8" s="25" t="s">
        <v>466</v>
      </c>
      <c r="G8" s="26"/>
      <c r="H8" s="26"/>
      <c r="I8" s="35"/>
      <c r="J8" s="36"/>
      <c r="K8" s="36"/>
      <c r="L8" s="37"/>
      <c r="M8" s="78"/>
      <c r="N8" s="85" t="s">
        <v>502</v>
      </c>
      <c r="O8" s="79"/>
      <c r="P8" s="79"/>
      <c r="Q8" s="79"/>
      <c r="R8" s="86" t="s">
        <v>466</v>
      </c>
      <c r="S8" s="82"/>
      <c r="T8" s="82"/>
      <c r="U8" s="79"/>
      <c r="V8" s="79"/>
      <c r="W8" s="79"/>
      <c r="X8" s="79"/>
    </row>
    <row r="9" spans="1:24" ht="30.75" customHeight="1" thickBot="1" x14ac:dyDescent="0.3">
      <c r="A9" s="27"/>
      <c r="B9" s="38" t="s">
        <v>473</v>
      </c>
      <c r="C9" s="39"/>
      <c r="D9" s="39"/>
      <c r="E9" s="40"/>
      <c r="F9" s="25" t="s">
        <v>466</v>
      </c>
      <c r="G9" s="26"/>
      <c r="H9" s="26"/>
      <c r="I9" s="35"/>
      <c r="J9" s="36"/>
      <c r="K9" s="36"/>
      <c r="L9" s="37"/>
      <c r="M9" s="78"/>
      <c r="N9" s="79"/>
      <c r="O9" s="79"/>
      <c r="P9" s="79"/>
      <c r="Q9" s="79"/>
      <c r="R9" s="84" t="s">
        <v>466</v>
      </c>
      <c r="S9" s="82"/>
      <c r="T9" s="82"/>
      <c r="U9" s="79"/>
      <c r="V9" s="79"/>
      <c r="W9" s="79"/>
      <c r="X9" s="79"/>
    </row>
    <row r="10" spans="1:24" ht="30.75" customHeight="1" thickBot="1" x14ac:dyDescent="0.3">
      <c r="A10" s="27"/>
      <c r="B10" s="38" t="s">
        <v>474</v>
      </c>
      <c r="C10" s="39"/>
      <c r="D10" s="39"/>
      <c r="E10" s="40"/>
      <c r="F10" s="25" t="s">
        <v>466</v>
      </c>
      <c r="G10" s="26"/>
      <c r="H10" s="26"/>
      <c r="I10" s="35"/>
      <c r="J10" s="36"/>
      <c r="K10" s="36"/>
      <c r="L10" s="37"/>
      <c r="M10" s="78"/>
      <c r="N10" s="79"/>
      <c r="O10" s="79"/>
      <c r="P10" s="79"/>
      <c r="Q10" s="79"/>
      <c r="R10" s="84" t="s">
        <v>466</v>
      </c>
      <c r="S10" s="82"/>
      <c r="T10" s="82"/>
      <c r="U10" s="79"/>
      <c r="V10" s="79"/>
      <c r="W10" s="79"/>
      <c r="X10" s="79"/>
    </row>
    <row r="11" spans="1:24" ht="36.75" customHeight="1" thickBot="1" x14ac:dyDescent="0.3">
      <c r="A11" s="27"/>
      <c r="B11" s="38" t="s">
        <v>475</v>
      </c>
      <c r="C11" s="39"/>
      <c r="D11" s="39"/>
      <c r="E11" s="40"/>
      <c r="F11" s="25" t="s">
        <v>466</v>
      </c>
      <c r="G11" s="26"/>
      <c r="H11" s="26"/>
      <c r="I11" s="35"/>
      <c r="J11" s="36"/>
      <c r="K11" s="36"/>
      <c r="L11" s="37"/>
      <c r="M11" s="78"/>
      <c r="N11" s="79"/>
      <c r="O11" s="79"/>
      <c r="P11" s="79"/>
      <c r="Q11" s="79"/>
      <c r="R11" s="84" t="s">
        <v>466</v>
      </c>
      <c r="S11" s="82"/>
      <c r="T11" s="82"/>
      <c r="U11" s="79"/>
      <c r="V11" s="79"/>
      <c r="W11" s="79"/>
      <c r="X11" s="79"/>
    </row>
    <row r="12" spans="1:24" ht="30" customHeight="1" thickBot="1" x14ac:dyDescent="0.3">
      <c r="A12" s="26"/>
      <c r="B12" s="53" t="s">
        <v>476</v>
      </c>
      <c r="C12" s="54"/>
      <c r="D12" s="54"/>
      <c r="E12" s="55"/>
      <c r="F12" s="25" t="s">
        <v>466</v>
      </c>
      <c r="G12" s="25" t="s">
        <v>477</v>
      </c>
      <c r="H12" s="26"/>
      <c r="I12" s="56"/>
      <c r="J12" s="57"/>
      <c r="K12" s="57"/>
      <c r="L12" s="58"/>
      <c r="M12" s="78"/>
      <c r="N12" s="79"/>
      <c r="O12" s="79"/>
      <c r="P12" s="79"/>
      <c r="Q12" s="79"/>
      <c r="R12" s="84" t="s">
        <v>466</v>
      </c>
      <c r="S12" s="82"/>
      <c r="T12" s="82"/>
      <c r="U12" s="79"/>
      <c r="V12" s="79"/>
      <c r="W12" s="79"/>
      <c r="X12" s="79"/>
    </row>
    <row r="13" spans="1:24" ht="30.75" thickBot="1" x14ac:dyDescent="0.3">
      <c r="A13" s="26"/>
      <c r="B13" s="53" t="s">
        <v>478</v>
      </c>
      <c r="C13" s="54"/>
      <c r="D13" s="54"/>
      <c r="E13" s="55"/>
      <c r="F13" s="25" t="s">
        <v>466</v>
      </c>
      <c r="G13" s="26"/>
      <c r="H13" s="26"/>
      <c r="I13" s="56"/>
      <c r="J13" s="57"/>
      <c r="K13" s="57"/>
      <c r="L13" s="58"/>
      <c r="M13" s="78"/>
      <c r="N13" s="79"/>
      <c r="O13" s="79"/>
      <c r="P13" s="79"/>
      <c r="Q13" s="79"/>
      <c r="R13" s="84" t="s">
        <v>466</v>
      </c>
      <c r="S13" s="82"/>
      <c r="T13" s="82"/>
      <c r="U13" s="79"/>
      <c r="V13" s="79"/>
      <c r="W13" s="79"/>
      <c r="X13" s="79"/>
    </row>
    <row r="14" spans="1:24" ht="27.75" customHeight="1" thickBot="1" x14ac:dyDescent="0.3">
      <c r="A14" s="26"/>
      <c r="B14" s="53" t="s">
        <v>479</v>
      </c>
      <c r="C14" s="54"/>
      <c r="D14" s="54"/>
      <c r="E14" s="55"/>
      <c r="F14" s="25" t="s">
        <v>466</v>
      </c>
      <c r="G14" s="26"/>
      <c r="H14" s="26"/>
      <c r="I14" s="56"/>
      <c r="J14" s="57"/>
      <c r="K14" s="57"/>
      <c r="L14" s="58"/>
      <c r="M14" s="78"/>
      <c r="N14" s="79"/>
      <c r="O14" s="79"/>
      <c r="P14" s="79"/>
      <c r="Q14" s="79"/>
      <c r="R14" s="84" t="s">
        <v>466</v>
      </c>
      <c r="S14" s="82"/>
      <c r="T14" s="82"/>
      <c r="U14" s="79"/>
      <c r="V14" s="79"/>
      <c r="W14" s="79"/>
      <c r="X14" s="79"/>
    </row>
    <row r="15" spans="1:24" ht="30.75" customHeight="1" thickBot="1" x14ac:dyDescent="0.3">
      <c r="A15" s="24" t="s">
        <v>480</v>
      </c>
      <c r="B15" s="53" t="s">
        <v>481</v>
      </c>
      <c r="C15" s="54"/>
      <c r="D15" s="54"/>
      <c r="E15" s="55"/>
      <c r="F15" s="25" t="s">
        <v>466</v>
      </c>
      <c r="G15" s="25" t="s">
        <v>477</v>
      </c>
      <c r="H15" s="26"/>
      <c r="I15" s="56"/>
      <c r="J15" s="57"/>
      <c r="K15" s="57"/>
      <c r="L15" s="58"/>
      <c r="M15" s="78"/>
      <c r="N15" s="79"/>
      <c r="O15" s="79"/>
      <c r="P15" s="79"/>
      <c r="Q15" s="79"/>
      <c r="R15" s="84" t="s">
        <v>466</v>
      </c>
      <c r="S15" s="82"/>
      <c r="T15" s="82"/>
      <c r="U15" s="79"/>
      <c r="V15" s="79"/>
      <c r="W15" s="79"/>
      <c r="X15" s="79"/>
    </row>
    <row r="16" spans="1:24" ht="30.75" customHeight="1" thickBot="1" x14ac:dyDescent="0.3">
      <c r="A16" s="27"/>
      <c r="B16" s="38" t="s">
        <v>482</v>
      </c>
      <c r="C16" s="39"/>
      <c r="D16" s="39"/>
      <c r="E16" s="40"/>
      <c r="F16" s="25" t="s">
        <v>466</v>
      </c>
      <c r="G16" s="26"/>
      <c r="H16" s="26"/>
      <c r="I16" s="35"/>
      <c r="J16" s="36"/>
      <c r="K16" s="36"/>
      <c r="L16" s="37"/>
      <c r="M16" s="78"/>
      <c r="N16" s="79"/>
      <c r="O16" s="79"/>
      <c r="P16" s="79"/>
      <c r="Q16" s="79"/>
      <c r="R16" s="84" t="s">
        <v>466</v>
      </c>
      <c r="S16" s="82"/>
      <c r="T16" s="82"/>
      <c r="U16" s="79"/>
      <c r="V16" s="79"/>
      <c r="W16" s="79"/>
      <c r="X16" s="79"/>
    </row>
    <row r="17" spans="1:24" ht="30.75" customHeight="1" thickBot="1" x14ac:dyDescent="0.3">
      <c r="A17" s="27"/>
      <c r="B17" s="38" t="s">
        <v>483</v>
      </c>
      <c r="C17" s="39"/>
      <c r="D17" s="39"/>
      <c r="E17" s="40"/>
      <c r="F17" s="25" t="s">
        <v>466</v>
      </c>
      <c r="G17" s="25" t="s">
        <v>477</v>
      </c>
      <c r="H17" s="26"/>
      <c r="I17" s="35"/>
      <c r="J17" s="36"/>
      <c r="K17" s="36"/>
      <c r="L17" s="37"/>
      <c r="M17" s="78"/>
      <c r="N17" s="79"/>
      <c r="O17" s="79"/>
      <c r="P17" s="79"/>
      <c r="Q17" s="79"/>
      <c r="R17" s="84" t="s">
        <v>466</v>
      </c>
      <c r="S17" s="82"/>
      <c r="T17" s="82"/>
      <c r="U17" s="79"/>
      <c r="V17" s="79"/>
      <c r="W17" s="79"/>
      <c r="X17" s="79"/>
    </row>
    <row r="18" spans="1:24" ht="30.75" customHeight="1" thickBot="1" x14ac:dyDescent="0.3">
      <c r="A18" s="27"/>
      <c r="B18" s="38" t="s">
        <v>484</v>
      </c>
      <c r="C18" s="39"/>
      <c r="D18" s="39"/>
      <c r="E18" s="40"/>
      <c r="F18" s="25" t="s">
        <v>466</v>
      </c>
      <c r="G18" s="26"/>
      <c r="H18" s="26"/>
      <c r="I18" s="35"/>
      <c r="J18" s="36"/>
      <c r="K18" s="36"/>
      <c r="L18" s="37"/>
      <c r="M18" s="78"/>
      <c r="N18" s="79"/>
      <c r="O18" s="79"/>
      <c r="P18" s="79"/>
      <c r="Q18" s="79"/>
      <c r="R18" s="84" t="s">
        <v>466</v>
      </c>
      <c r="S18" s="82"/>
      <c r="T18" s="82"/>
      <c r="U18" s="79"/>
      <c r="V18" s="79"/>
      <c r="W18" s="79"/>
      <c r="X18" s="79"/>
    </row>
    <row r="19" spans="1:24" ht="30.75" customHeight="1" thickBot="1" x14ac:dyDescent="0.3">
      <c r="A19" s="27"/>
      <c r="B19" s="38" t="s">
        <v>485</v>
      </c>
      <c r="C19" s="39"/>
      <c r="D19" s="39"/>
      <c r="E19" s="40"/>
      <c r="F19" s="25" t="s">
        <v>466</v>
      </c>
      <c r="G19" s="26"/>
      <c r="H19" s="26"/>
      <c r="I19" s="35"/>
      <c r="J19" s="36"/>
      <c r="K19" s="36"/>
      <c r="L19" s="37"/>
      <c r="M19" s="78"/>
      <c r="N19" s="79"/>
      <c r="O19" s="79"/>
      <c r="P19" s="79"/>
      <c r="Q19" s="79"/>
      <c r="R19" s="84" t="s">
        <v>466</v>
      </c>
      <c r="S19" s="82"/>
      <c r="T19" s="82"/>
      <c r="U19" s="79"/>
      <c r="V19" s="79"/>
      <c r="W19" s="79"/>
      <c r="X19" s="79"/>
    </row>
    <row r="20" spans="1:24" ht="30.75" thickBot="1" x14ac:dyDescent="0.3">
      <c r="A20" s="50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2"/>
      <c r="M20" s="78"/>
      <c r="N20" s="79"/>
      <c r="O20" s="79"/>
      <c r="P20" s="79"/>
      <c r="Q20" s="79"/>
      <c r="R20" s="84" t="s">
        <v>466</v>
      </c>
      <c r="S20" s="82"/>
      <c r="T20" s="82"/>
      <c r="U20" s="79"/>
      <c r="V20" s="79"/>
      <c r="W20" s="79"/>
      <c r="X20" s="79"/>
    </row>
    <row r="21" spans="1:24" ht="30.75" thickBot="1" x14ac:dyDescent="0.3">
      <c r="A21" s="24" t="s">
        <v>486</v>
      </c>
      <c r="B21" s="38" t="s">
        <v>487</v>
      </c>
      <c r="C21" s="39"/>
      <c r="D21" s="39"/>
      <c r="E21" s="40"/>
      <c r="F21" s="25" t="s">
        <v>466</v>
      </c>
      <c r="G21" s="26"/>
      <c r="H21" s="26" t="s">
        <v>488</v>
      </c>
      <c r="I21" s="35"/>
      <c r="J21" s="36"/>
      <c r="K21" s="36"/>
      <c r="L21" s="37"/>
      <c r="M21" s="78"/>
      <c r="N21" s="79"/>
      <c r="O21" s="79"/>
      <c r="P21" s="79"/>
      <c r="Q21" s="79"/>
      <c r="R21" s="84" t="s">
        <v>466</v>
      </c>
      <c r="S21" s="82"/>
      <c r="T21" s="82"/>
      <c r="U21" s="79"/>
      <c r="V21" s="79"/>
      <c r="W21" s="79"/>
      <c r="X21" s="79"/>
    </row>
    <row r="22" spans="1:24" ht="30.75" thickBot="1" x14ac:dyDescent="0.3">
      <c r="A22" s="27"/>
      <c r="B22" s="38" t="s">
        <v>489</v>
      </c>
      <c r="C22" s="39"/>
      <c r="D22" s="39"/>
      <c r="E22" s="40"/>
      <c r="F22" s="25" t="s">
        <v>466</v>
      </c>
      <c r="G22" s="26"/>
      <c r="H22" s="26"/>
      <c r="I22" s="35"/>
      <c r="J22" s="36"/>
      <c r="K22" s="36"/>
      <c r="L22" s="37"/>
      <c r="M22" s="78"/>
      <c r="N22" s="79"/>
      <c r="O22" s="79"/>
      <c r="P22" s="79"/>
      <c r="Q22" s="79"/>
      <c r="R22" s="84" t="s">
        <v>466</v>
      </c>
      <c r="S22" s="82"/>
      <c r="T22" s="82"/>
      <c r="U22" s="79"/>
      <c r="V22" s="79"/>
      <c r="W22" s="79"/>
      <c r="X22" s="79"/>
    </row>
    <row r="23" spans="1:24" ht="30.75" thickBot="1" x14ac:dyDescent="0.3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  <c r="M23" s="78"/>
      <c r="N23" s="79"/>
      <c r="O23" s="79"/>
      <c r="P23" s="79"/>
      <c r="Q23" s="79"/>
      <c r="R23" s="84" t="s">
        <v>466</v>
      </c>
      <c r="S23" s="82"/>
      <c r="T23" s="82"/>
      <c r="U23" s="79"/>
      <c r="V23" s="79"/>
      <c r="W23" s="79"/>
      <c r="X23" s="79"/>
    </row>
    <row r="24" spans="1:24" ht="30.75" thickBot="1" x14ac:dyDescent="0.3">
      <c r="A24" s="28" t="s">
        <v>490</v>
      </c>
      <c r="B24" s="53" t="s">
        <v>491</v>
      </c>
      <c r="C24" s="54"/>
      <c r="D24" s="54"/>
      <c r="E24" s="55"/>
      <c r="F24" s="25" t="s">
        <v>466</v>
      </c>
      <c r="G24" s="25" t="s">
        <v>477</v>
      </c>
      <c r="H24" s="26"/>
      <c r="I24" s="56"/>
      <c r="J24" s="57"/>
      <c r="K24" s="57"/>
      <c r="L24" s="58"/>
      <c r="M24" s="78"/>
      <c r="N24" s="79"/>
      <c r="O24" s="79"/>
      <c r="P24" s="79"/>
      <c r="Q24" s="79"/>
      <c r="R24" s="84" t="s">
        <v>466</v>
      </c>
      <c r="S24" s="82"/>
      <c r="T24" s="82"/>
      <c r="U24" s="79"/>
      <c r="V24" s="79"/>
      <c r="W24" s="79"/>
      <c r="X24" s="79"/>
    </row>
    <row r="25" spans="1:24" ht="30.75" thickBot="1" x14ac:dyDescent="0.3">
      <c r="A25" s="26"/>
      <c r="B25" s="53" t="s">
        <v>492</v>
      </c>
      <c r="C25" s="54"/>
      <c r="D25" s="54"/>
      <c r="E25" s="55"/>
      <c r="F25" s="25" t="s">
        <v>466</v>
      </c>
      <c r="G25" s="25" t="s">
        <v>477</v>
      </c>
      <c r="H25" s="26"/>
      <c r="I25" s="56"/>
      <c r="J25" s="57"/>
      <c r="K25" s="57"/>
      <c r="L25" s="58"/>
      <c r="M25" s="78"/>
      <c r="N25" s="79"/>
      <c r="O25" s="79"/>
      <c r="P25" s="79"/>
      <c r="Q25" s="79"/>
      <c r="R25" s="84" t="s">
        <v>466</v>
      </c>
      <c r="S25" s="82"/>
      <c r="T25" s="82"/>
      <c r="U25" s="79"/>
      <c r="V25" s="79"/>
      <c r="W25" s="79"/>
      <c r="X25" s="79"/>
    </row>
    <row r="26" spans="1:24" ht="30.75" thickBot="1" x14ac:dyDescent="0.3">
      <c r="A26" s="26"/>
      <c r="B26" s="53" t="s">
        <v>493</v>
      </c>
      <c r="C26" s="54"/>
      <c r="D26" s="54"/>
      <c r="E26" s="55"/>
      <c r="F26" s="25" t="s">
        <v>466</v>
      </c>
      <c r="G26" s="25" t="s">
        <v>477</v>
      </c>
      <c r="H26" s="26"/>
      <c r="I26" s="56"/>
      <c r="J26" s="57"/>
      <c r="K26" s="57"/>
      <c r="L26" s="58"/>
      <c r="M26" s="78"/>
      <c r="N26" s="79"/>
      <c r="O26" s="79"/>
      <c r="P26" s="79"/>
      <c r="Q26" s="79"/>
      <c r="R26" s="84" t="s">
        <v>466</v>
      </c>
      <c r="S26" s="82"/>
      <c r="T26" s="82"/>
      <c r="U26" s="79"/>
      <c r="V26" s="79"/>
      <c r="W26" s="79"/>
      <c r="X26" s="79"/>
    </row>
    <row r="27" spans="1:24" ht="30.75" thickBot="1" x14ac:dyDescent="0.3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2"/>
      <c r="M27" s="78"/>
      <c r="N27" s="79"/>
      <c r="O27" s="79"/>
      <c r="P27" s="79"/>
      <c r="Q27" s="79"/>
      <c r="R27" s="84" t="s">
        <v>466</v>
      </c>
      <c r="S27" s="82"/>
      <c r="T27" s="82"/>
      <c r="U27" s="79"/>
      <c r="V27" s="79"/>
      <c r="W27" s="79"/>
      <c r="X27" s="79"/>
    </row>
    <row r="28" spans="1:24" ht="30.75" thickBot="1" x14ac:dyDescent="0.3">
      <c r="A28" s="28" t="s">
        <v>460</v>
      </c>
      <c r="B28" s="25" t="s">
        <v>494</v>
      </c>
      <c r="C28" s="26"/>
      <c r="D28" s="26"/>
      <c r="E28" s="26"/>
      <c r="F28" s="26"/>
      <c r="G28" s="26"/>
      <c r="H28" s="26"/>
      <c r="I28" s="25" t="s">
        <v>494</v>
      </c>
      <c r="J28" s="26"/>
      <c r="K28" s="26"/>
      <c r="L28" s="26"/>
      <c r="M28" s="78"/>
      <c r="N28" s="79"/>
      <c r="O28" s="79"/>
      <c r="P28" s="79"/>
      <c r="Q28" s="79"/>
      <c r="R28" s="84" t="s">
        <v>466</v>
      </c>
      <c r="S28" s="82"/>
      <c r="T28" s="82"/>
      <c r="U28" s="79"/>
      <c r="V28" s="79"/>
      <c r="W28" s="79"/>
      <c r="X28" s="79"/>
    </row>
    <row r="29" spans="1:24" ht="30.75" thickBot="1" x14ac:dyDescent="0.3">
      <c r="A29" s="26"/>
      <c r="B29" s="25" t="s">
        <v>495</v>
      </c>
      <c r="C29" s="26"/>
      <c r="D29" s="26"/>
      <c r="E29" s="26"/>
      <c r="F29" s="26"/>
      <c r="G29" s="26"/>
      <c r="H29" s="26"/>
      <c r="I29" s="25" t="s">
        <v>495</v>
      </c>
      <c r="J29" s="26"/>
      <c r="K29" s="26"/>
      <c r="L29" s="26"/>
      <c r="M29" s="78"/>
      <c r="N29" s="79"/>
      <c r="O29" s="79"/>
      <c r="P29" s="79"/>
      <c r="Q29" s="79"/>
      <c r="R29" s="84" t="s">
        <v>466</v>
      </c>
      <c r="S29" s="82"/>
      <c r="T29" s="82"/>
      <c r="U29" s="79"/>
      <c r="V29" s="79"/>
      <c r="W29" s="79"/>
      <c r="X29" s="79"/>
    </row>
  </sheetData>
  <mergeCells count="109">
    <mergeCell ref="U25:X25"/>
    <mergeCell ref="U26:X26"/>
    <mergeCell ref="U27:X27"/>
    <mergeCell ref="U28:X28"/>
    <mergeCell ref="U29:X29"/>
    <mergeCell ref="U20:X20"/>
    <mergeCell ref="U21:X21"/>
    <mergeCell ref="U22:X22"/>
    <mergeCell ref="U23:X23"/>
    <mergeCell ref="U24:X24"/>
    <mergeCell ref="U15:X15"/>
    <mergeCell ref="U16:X16"/>
    <mergeCell ref="U17:X17"/>
    <mergeCell ref="U18:X18"/>
    <mergeCell ref="U19:X19"/>
    <mergeCell ref="U10:X10"/>
    <mergeCell ref="U11:X11"/>
    <mergeCell ref="U12:X12"/>
    <mergeCell ref="U13:X13"/>
    <mergeCell ref="U14:X14"/>
    <mergeCell ref="U5:X5"/>
    <mergeCell ref="U6:X6"/>
    <mergeCell ref="U7:X7"/>
    <mergeCell ref="U8:X8"/>
    <mergeCell ref="U9:X9"/>
    <mergeCell ref="N25:Q25"/>
    <mergeCell ref="N26:Q26"/>
    <mergeCell ref="N27:Q27"/>
    <mergeCell ref="N28:Q28"/>
    <mergeCell ref="N29:Q29"/>
    <mergeCell ref="N20:Q20"/>
    <mergeCell ref="N21:Q21"/>
    <mergeCell ref="N22:Q22"/>
    <mergeCell ref="N23:Q23"/>
    <mergeCell ref="N24:Q24"/>
    <mergeCell ref="N15:Q15"/>
    <mergeCell ref="N16:Q16"/>
    <mergeCell ref="N17:Q17"/>
    <mergeCell ref="N18:Q18"/>
    <mergeCell ref="N19:Q19"/>
    <mergeCell ref="N10:Q10"/>
    <mergeCell ref="N11:Q11"/>
    <mergeCell ref="N12:Q12"/>
    <mergeCell ref="N13:Q13"/>
    <mergeCell ref="N14:Q14"/>
    <mergeCell ref="N5:Q5"/>
    <mergeCell ref="N6:Q6"/>
    <mergeCell ref="N7:Q7"/>
    <mergeCell ref="N8:Q8"/>
    <mergeCell ref="N9:Q9"/>
    <mergeCell ref="N1:Q1"/>
    <mergeCell ref="U1:X1"/>
    <mergeCell ref="N2:Q2"/>
    <mergeCell ref="N3:Q3"/>
    <mergeCell ref="N4:Q4"/>
    <mergeCell ref="U2:X2"/>
    <mergeCell ref="U3:X3"/>
    <mergeCell ref="U4:X4"/>
    <mergeCell ref="A27:L27"/>
    <mergeCell ref="B24:E24"/>
    <mergeCell ref="B25:E25"/>
    <mergeCell ref="B26:E26"/>
    <mergeCell ref="B12:E12"/>
    <mergeCell ref="B13:E13"/>
    <mergeCell ref="B14:E14"/>
    <mergeCell ref="B15:E15"/>
    <mergeCell ref="I15:L15"/>
    <mergeCell ref="I13:L13"/>
    <mergeCell ref="I24:L24"/>
    <mergeCell ref="I25:L25"/>
    <mergeCell ref="I26:L26"/>
    <mergeCell ref="I12:L12"/>
    <mergeCell ref="I14:L14"/>
    <mergeCell ref="A20:L20"/>
    <mergeCell ref="A23:L23"/>
    <mergeCell ref="I16:L16"/>
    <mergeCell ref="I17:L17"/>
    <mergeCell ref="I18:L18"/>
    <mergeCell ref="I19:L19"/>
    <mergeCell ref="I21:L21"/>
    <mergeCell ref="I22:L22"/>
    <mergeCell ref="B18:E18"/>
    <mergeCell ref="B19:E19"/>
    <mergeCell ref="B21:E21"/>
    <mergeCell ref="B22:E22"/>
    <mergeCell ref="B16:E16"/>
    <mergeCell ref="B17:E17"/>
    <mergeCell ref="B1:E1"/>
    <mergeCell ref="I1:L1"/>
    <mergeCell ref="I2:L2"/>
    <mergeCell ref="I3:L3"/>
    <mergeCell ref="I4:L4"/>
    <mergeCell ref="B2:E2"/>
    <mergeCell ref="B3:E3"/>
    <mergeCell ref="B4:E4"/>
    <mergeCell ref="I5:L5"/>
    <mergeCell ref="B8:E8"/>
    <mergeCell ref="B9:E9"/>
    <mergeCell ref="B10:E10"/>
    <mergeCell ref="B11:E11"/>
    <mergeCell ref="B5:E5"/>
    <mergeCell ref="B6:E6"/>
    <mergeCell ref="B7:E7"/>
    <mergeCell ref="I11:L11"/>
    <mergeCell ref="I6:L6"/>
    <mergeCell ref="I7:L7"/>
    <mergeCell ref="I8:L8"/>
    <mergeCell ref="I9:L9"/>
    <mergeCell ref="I10:L10"/>
  </mergeCells>
  <hyperlinks>
    <hyperlink ref="F2" r:id="rId1" display="https://www.engineeringtoolbox.com/CO2-carbon-dioxide-properties-d_2017.html" xr:uid="{BCD259C1-C286-4E1A-B677-A9C63EBE262A}"/>
    <hyperlink ref="F3" r:id="rId2" location="v=onepage&amp;q&amp;f=false" display="https://books.google.com.sg/books?hl=en&amp;lr=&amp;id=jyipEAAAQBAJ&amp;oi=fnd&amp;pg=PP1&amp;ots=MoFfwBB0TR&amp;sig=7WKRT6tA9HuzuZh-tIUFTt-f23Y&amp;redir_esc=y - v=onepage&amp;q&amp;f=false" xr:uid="{FA2577F7-A675-42DB-9858-6DD9E2C44026}"/>
    <hyperlink ref="F4" r:id="rId3" display="https://doi.org/10.1016/j.ijggc.2019.05.029" xr:uid="{6CAD6625-CABC-4C78-A933-2AA30BAD0D15}"/>
    <hyperlink ref="F5" r:id="rId4" display="https://www.jstage.jst.go.jp/article/jcej/33/1/33_1_103/_article" xr:uid="{9408633E-7AC7-4315-B86B-38A3F1EF51B9}"/>
    <hyperlink ref="F6" r:id="rId5" display="https://doi.org/10.4186/ej.2019.23.4.29" xr:uid="{EAB555B1-770D-4EDA-BD57-569704C89DA3}"/>
    <hyperlink ref="F7" r:id="rId6" display="https://ourworldindata.org/co2-and-other-greenhouse-gasemissions" xr:uid="{BA4094B3-931C-4500-B7A9-F0B7158C0501}"/>
    <hyperlink ref="F8" r:id="rId7" display="https://doi.org/10.1021%2Fla962111a" xr:uid="{0AB1E127-FF16-41D4-BE5F-A40626E14444}"/>
    <hyperlink ref="F9" r:id="rId8" display="https://doi.org/10.1016/j.energy.2014.09.079" xr:uid="{B742A921-B189-4F84-A8F6-D8CDDDFF048E}"/>
    <hyperlink ref="F10" r:id="rId9" display="https://doi.org/10.3390/pr9020201" xr:uid="{B7B89734-1E77-4EBD-88A4-A3488691F635}"/>
    <hyperlink ref="F11" r:id="rId10" display="https://www.cheric.org/research/tech/periodicals/view.php?seq=282275" xr:uid="{77E72FAB-7ABA-49E6-A936-FBFE2C44FC99}"/>
    <hyperlink ref="F12" r:id="rId11" display="https://www.mdpi.com/1996-1944/16/7/2921" xr:uid="{C6657F8C-7A1A-4429-858B-671C1D7D3B50}"/>
    <hyperlink ref="G12" r:id="rId12" display="https://drive.google.com/file/d/1WN-AYOAC_cfJhKwZY_57av2JsbTDwzIY/view?usp=sharing" xr:uid="{F498296B-A6BA-4210-A43A-73D7B1212A4E}"/>
    <hyperlink ref="F13" r:id="rId13" display="https://www.sciencedirect.com/science/article/abs/pii/S1570023216311187?via%3Dihub" xr:uid="{F622A8AC-EC74-4850-AD52-D2FB76C0C7F6}"/>
    <hyperlink ref="F14" r:id="rId14" display="https://pubs.acs.org/doi/pdf/10.1021/acs.iecr.9b05383" xr:uid="{9E503748-9363-4FC7-9DFA-957E50AB1245}"/>
    <hyperlink ref="F15" r:id="rId15" display="https://arxiv.org/abs/1805.01331" xr:uid="{3CF43202-A1C7-4229-A792-F8C9196CAC33}"/>
    <hyperlink ref="G15" r:id="rId16" display="https://drive.google.com/file/d/188O90LR4LxwdKvde8-KBFyQ3zaJMmrHf/view?usp=drive_link" xr:uid="{EA60D9F4-2A9E-46FE-8886-D45B7D1494AD}"/>
    <hyperlink ref="F16" r:id="rId17" display="https://www2.mathematik.hu-berlin.de/publ/pre/2011/P-11-11.pdf" xr:uid="{29870E47-081A-48B4-8320-14B9B9A7E9F8}"/>
    <hyperlink ref="F17" r:id="rId18" display="https://epubs.siam.org/doi/10.1137/0153024)" xr:uid="{4661583E-7713-407C-B8C3-7CBF122E28A6}"/>
    <hyperlink ref="G17" r:id="rId19" display="https://drive.google.com/file/d/1qTwO2D5OHhigMeQyMdP4iXHu2jg26pd9/view?usp=drive_link" xr:uid="{1D93C018-0AF1-4631-8A68-A2BDA9547521}"/>
    <hyperlink ref="F18" r:id="rId20" display="https://www.newcastle.edu.au/__data/assets/pdf_file/0003/22755/68_Numerical-modelling-of-competitive-components-transport-with-nonlinear-adsorption.pdf" xr:uid="{950B3E66-F2F1-46B8-87A7-4623BB2A6FB6}"/>
    <hyperlink ref="F19" r:id="rId21" display="https://academic.oup.com/ptps/article/doi/10.1143/PTPS.64.74/1872937" xr:uid="{2F10B53D-3D7E-4385-97C6-064E3B6BBCBC}"/>
    <hyperlink ref="F21" r:id="rId22" display="https://elmoukrie.com/wp-content/uploads/2022/04/g.-k.-batchelor-an-introduction-to-fluid-dynamics-cambridge-university-press-2000.pdf" xr:uid="{7E258F6B-19C7-4F6F-BC7C-1C48261494EB}"/>
    <hyperlink ref="F22" r:id="rId23" display="https://www.damtp.cam.ac.uk/user/tong/fluids/fluids.pdf" xr:uid="{D34C1737-F708-4B71-9184-D38954348403}"/>
    <hyperlink ref="F24" r:id="rId24" display="https://www.sciencedirect.com/science/article/abs/pii/S1385894713010565?via%3Dihub" xr:uid="{17D75998-50C6-4655-8A40-C10CD1E9F7FA}"/>
    <hyperlink ref="G24" r:id="rId25" display="https://drive.google.com/file/d/1lvBAsBruOPq6aGtlzKywbRM83dX-JvFz/view?usp=sharing" xr:uid="{0A193052-071A-4AAB-804D-6ACF368ACCA6}"/>
    <hyperlink ref="F25" r:id="rId26" display="https://sci-hub.ru/10.1021/acs.energyfuels.6b02800" xr:uid="{E1747533-3D29-4D38-A647-49158517A36C}"/>
    <hyperlink ref="G25" r:id="rId27" display="https://drive.google.com/file/d/1_b5SprOcYCQQtY4FGdEhO15c6hXbno_N/view?usp=sharing" xr:uid="{BB028725-7736-4992-8289-307DDFCF457A}"/>
    <hyperlink ref="F26" r:id="rId28" display="https://drive.google.com/file/d/1jmV6yJRrXEJXOo7aoXj-34Htuaykijls/view?usp=sharing" xr:uid="{DAF757D4-8F6F-4170-8417-452E7EC08285}"/>
    <hyperlink ref="G26" r:id="rId29" display="https://drive.google.com/file/d/1jmV6yJRrXEJXOo7aoXj-34Htuaykijls/view?usp=sharing" xr:uid="{9626EEE6-76B0-4B8B-9CF7-38A07FE54492}"/>
    <hyperlink ref="B28" r:id="rId30" display="https://drive.google.com/drive/folders/1IDahxtO3PgcatXsgMkMLCXKJKhoEyyk4" xr:uid="{D81EF4DE-2A02-41D0-B62A-1B7C881AA099}"/>
    <hyperlink ref="B29" r:id="rId31" display="https://sutd.primo.exlibrisgroup.com/discovery/search?vid=65SUTD_INST:65SUTD&amp;tab=default_tab&amp;search_scope=All&amp;search_scope=MyInst_and_CI&amp;mode=basic&amp;displayMode=full&amp;bulkSize=10&amp;highlight=true&amp;dum=true&amp;query=any,contains,sorbent&amp;displayField=all&amp;pcAvailabiltyMode=true&amp;pfilter=&amp;search_type=contains&amp;search_index=anySUTD%20Library" xr:uid="{E76A622C-403C-49BC-9482-9A4531024958}"/>
    <hyperlink ref="I28" r:id="rId32" display="https://drive.google.com/drive/folders/1IDahxtO3PgcatXsgMkMLCXKJKhoEyyk4" xr:uid="{64DDDDEE-A3CB-418B-AB5B-94744294E6DE}"/>
    <hyperlink ref="I29" r:id="rId33" display="https://sutd.primo.exlibrisgroup.com/discovery/search?vid=65SUTD_INST:65SUTD&amp;tab=default_tab&amp;search_scope=All&amp;search_scope=MyInst_and_CI&amp;mode=basic&amp;displayMode=full&amp;bulkSize=10&amp;highlight=true&amp;dum=true&amp;query=any,contains,sorbent&amp;displayField=all&amp;pcAvailabiltyMode=true&amp;pfilter=&amp;search_type=contains&amp;search_index=anySUTD%20Library" xr:uid="{71F5A2EF-0B8A-439C-8F84-EBF1E2464D1B}"/>
    <hyperlink ref="R2" r:id="rId34" xr:uid="{01FF7F94-1610-4EEE-9D8B-8A40F58FF3C3}"/>
    <hyperlink ref="R3" r:id="rId35" xr:uid="{85B9DE75-504F-436E-A280-5332FABCE646}"/>
    <hyperlink ref="R4" r:id="rId36" xr:uid="{AE00137D-1FF8-4E42-8EE1-BC8263C8145F}"/>
    <hyperlink ref="R5" r:id="rId37" xr:uid="{607155E9-6A65-4DC8-9C11-8CA6E25447CE}"/>
    <hyperlink ref="R6" r:id="rId38" xr:uid="{7F11FE6E-7E38-4A3E-B94F-87CE06C54F5D}"/>
    <hyperlink ref="R7" r:id="rId39" xr:uid="{1F4DA6D6-DBDB-4146-BD20-E53FC106D5C3}"/>
    <hyperlink ref="R8" r:id="rId40" xr:uid="{F4F5547E-BCB5-4929-AF11-9352A4214E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1. Master Schedule</vt:lpstr>
      <vt:lpstr>2. Deliverables</vt:lpstr>
      <vt:lpstr>3. Bi-weekly Journal</vt:lpstr>
      <vt:lpstr>4. Experiment Log</vt:lpstr>
      <vt:lpstr>5. Hypotheses</vt:lpstr>
      <vt:lpstr>6. Risk Register</vt:lpstr>
      <vt:lpstr>7. Reading Tracker</vt:lpstr>
      <vt:lpstr>8. Meeting Log</vt:lpstr>
      <vt:lpstr>9. Gantt Chart</vt:lpstr>
      <vt:lpstr>10. References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Loh John Ray /ES</cp:lastModifiedBy>
  <cp:revision/>
  <dcterms:created xsi:type="dcterms:W3CDTF">2026-04-20T13:14:35Z</dcterms:created>
  <dcterms:modified xsi:type="dcterms:W3CDTF">2026-04-29T15:02:30Z</dcterms:modified>
  <cp:category/>
  <cp:contentStatus/>
</cp:coreProperties>
</file>